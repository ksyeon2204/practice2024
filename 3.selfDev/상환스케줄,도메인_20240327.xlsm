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KSY\04. 기타서류\"/>
    </mc:Choice>
  </mc:AlternateContent>
  <bookViews>
    <workbookView xWindow="0" yWindow="0" windowWidth="14505" windowHeight="8010"/>
  </bookViews>
  <sheets>
    <sheet name="상환스케쥴" sheetId="1" r:id="rId1"/>
    <sheet name="표준속성찾기" sheetId="2" r:id="rId2"/>
    <sheet name="단어" sheetId="4" r:id="rId3"/>
    <sheet name="도메인" sheetId="3" r:id="rId4"/>
    <sheet name="상환_sub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1" l="1"/>
  <c r="O3" i="1"/>
  <c r="O4" i="1"/>
  <c r="O5" i="1"/>
  <c r="O6" i="1"/>
  <c r="O7" i="1"/>
  <c r="O8" i="1"/>
  <c r="O9" i="1"/>
  <c r="O10" i="1"/>
  <c r="O11" i="1"/>
  <c r="O12" i="1"/>
  <c r="O14" i="1"/>
  <c r="O15" i="1"/>
  <c r="O16" i="1"/>
  <c r="O17" i="1"/>
  <c r="O18" i="1"/>
  <c r="O19" i="1"/>
  <c r="O20" i="1"/>
  <c r="O21" i="1"/>
  <c r="O2" i="1"/>
  <c r="N22" i="1" l="1"/>
  <c r="J22" i="1"/>
  <c r="B5" i="1"/>
  <c r="M22" i="1"/>
  <c r="C13" i="1"/>
  <c r="C14" i="1" l="1"/>
  <c r="C16" i="1" s="1"/>
  <c r="C15" i="1" l="1"/>
  <c r="C17" i="1" s="1"/>
</calcChain>
</file>

<file path=xl/sharedStrings.xml><?xml version="1.0" encoding="utf-8"?>
<sst xmlns="http://schemas.openxmlformats.org/spreadsheetml/2006/main" count="759" uniqueCount="716">
  <si>
    <t>원리금균등</t>
    <phoneticPr fontId="2" type="noConversion"/>
  </si>
  <si>
    <t>대출금액</t>
    <phoneticPr fontId="2" type="noConversion"/>
  </si>
  <si>
    <t>실행일자</t>
    <phoneticPr fontId="2" type="noConversion"/>
  </si>
  <si>
    <t>만기일자</t>
    <phoneticPr fontId="2" type="noConversion"/>
  </si>
  <si>
    <t>상환방법</t>
    <phoneticPr fontId="2" type="noConversion"/>
  </si>
  <si>
    <t>적용이율</t>
    <phoneticPr fontId="2" type="noConversion"/>
  </si>
  <si>
    <t>대출기간(월)</t>
    <phoneticPr fontId="2" type="noConversion"/>
  </si>
  <si>
    <t>특정일</t>
    <phoneticPr fontId="2" type="noConversion"/>
  </si>
  <si>
    <t>월상환원금</t>
    <phoneticPr fontId="2" type="noConversion"/>
  </si>
  <si>
    <t>원금균등만</t>
    <phoneticPr fontId="2" type="noConversion"/>
  </si>
  <si>
    <t>항목</t>
    <phoneticPr fontId="2" type="noConversion"/>
  </si>
  <si>
    <t>입력</t>
  </si>
  <si>
    <t>입력</t>
    <phoneticPr fontId="2" type="noConversion"/>
  </si>
  <si>
    <t>산출(실행일자 + 대출기간(월))</t>
    <phoneticPr fontId="2" type="noConversion"/>
  </si>
  <si>
    <t>원금균등부수리</t>
    <phoneticPr fontId="2" type="noConversion"/>
  </si>
  <si>
    <t>원리금균등만(산출)</t>
    <phoneticPr fontId="2" type="noConversion"/>
  </si>
  <si>
    <t>설명</t>
  </si>
  <si>
    <t>설명</t>
    <phoneticPr fontId="2" type="noConversion"/>
  </si>
  <si>
    <t>일수</t>
  </si>
  <si>
    <t>표준속성</t>
    <phoneticPr fontId="2" type="noConversion"/>
  </si>
  <si>
    <t>도메인</t>
  </si>
  <si>
    <t>도메인명</t>
  </si>
  <si>
    <t>CD</t>
  </si>
  <si>
    <t>코드</t>
  </si>
  <si>
    <t>DCD</t>
    <phoneticPr fontId="2" type="noConversion"/>
  </si>
  <si>
    <t>구분코드</t>
    <phoneticPr fontId="2" type="noConversion"/>
  </si>
  <si>
    <t>ADDR</t>
  </si>
  <si>
    <t>주소</t>
  </si>
  <si>
    <t>CNTNT</t>
  </si>
  <si>
    <t>내용</t>
  </si>
  <si>
    <t>NM</t>
  </si>
  <si>
    <t>명칭</t>
  </si>
  <si>
    <t>AMT</t>
  </si>
  <si>
    <t>금액</t>
  </si>
  <si>
    <t>DT</t>
  </si>
  <si>
    <t>일자</t>
  </si>
  <si>
    <t>CNT</t>
  </si>
  <si>
    <t>건수</t>
  </si>
  <si>
    <t>RT</t>
  </si>
  <si>
    <t>율(%)</t>
  </si>
  <si>
    <t>NO</t>
  </si>
  <si>
    <t>번호</t>
  </si>
  <si>
    <t>YN</t>
  </si>
  <si>
    <t>여부</t>
  </si>
  <si>
    <t>DTM</t>
  </si>
  <si>
    <t>일시</t>
  </si>
  <si>
    <t>GUID</t>
  </si>
  <si>
    <t>VAL</t>
  </si>
  <si>
    <t>값</t>
  </si>
  <si>
    <t>DAYS</t>
  </si>
  <si>
    <t>YM</t>
  </si>
  <si>
    <t>년월</t>
  </si>
  <si>
    <t>MM</t>
  </si>
  <si>
    <t>월</t>
  </si>
  <si>
    <t>YY</t>
  </si>
  <si>
    <t>년</t>
  </si>
  <si>
    <t>YR</t>
  </si>
  <si>
    <t>년도</t>
  </si>
  <si>
    <t>YMD</t>
  </si>
  <si>
    <t>년월일</t>
  </si>
  <si>
    <t>RNK</t>
  </si>
  <si>
    <t>순위</t>
  </si>
  <si>
    <t>단어명</t>
  </si>
  <si>
    <t>단어</t>
  </si>
  <si>
    <t>full 단어</t>
    <phoneticPr fontId="2" type="noConversion"/>
  </si>
  <si>
    <t>확인</t>
    <phoneticPr fontId="2" type="noConversion"/>
  </si>
  <si>
    <t>??</t>
  </si>
  <si>
    <t>CNSTC</t>
  </si>
  <si>
    <t>SIC</t>
  </si>
  <si>
    <t>STT</t>
  </si>
  <si>
    <t>AI-R</t>
  </si>
  <si>
    <t>AIR</t>
  </si>
  <si>
    <t>CARRER??</t>
  </si>
  <si>
    <t>CAR</t>
  </si>
  <si>
    <t>DB</t>
  </si>
  <si>
    <t>TYPE</t>
  </si>
  <si>
    <t>유형</t>
    <phoneticPr fontId="2" type="noConversion"/>
  </si>
  <si>
    <t>DB</t>
    <phoneticPr fontId="2" type="noConversion"/>
  </si>
  <si>
    <t>ESG</t>
  </si>
  <si>
    <t>개발자</t>
  </si>
  <si>
    <t>DEVELR</t>
  </si>
  <si>
    <t>개요</t>
  </si>
  <si>
    <t>OTLN</t>
  </si>
  <si>
    <t>거래</t>
  </si>
  <si>
    <t>TX</t>
  </si>
  <si>
    <t>거래처</t>
  </si>
  <si>
    <t>CONTACT</t>
  </si>
  <si>
    <t>CUST</t>
  </si>
  <si>
    <t>고객</t>
    <phoneticPr fontId="2" type="noConversion"/>
  </si>
  <si>
    <t>건설사</t>
  </si>
  <si>
    <t>BSNS</t>
  </si>
  <si>
    <t>게시</t>
  </si>
  <si>
    <t>NTC</t>
  </si>
  <si>
    <t>게시판</t>
  </si>
  <si>
    <t>BOARD</t>
  </si>
  <si>
    <t>결과</t>
  </si>
  <si>
    <t>RSLT</t>
  </si>
  <si>
    <t>결산</t>
  </si>
  <si>
    <t>FNLAC</t>
  </si>
  <si>
    <t>결재</t>
  </si>
  <si>
    <t>APPR</t>
  </si>
  <si>
    <t>경력</t>
  </si>
  <si>
    <t>CAREER</t>
  </si>
  <si>
    <t>경비</t>
  </si>
  <si>
    <t>EXPN</t>
  </si>
  <si>
    <t>계약</t>
  </si>
  <si>
    <t>CTR</t>
  </si>
  <si>
    <t>CONT</t>
  </si>
  <si>
    <t>추천</t>
    <phoneticPr fontId="2" type="noConversion"/>
  </si>
  <si>
    <t>계열(그룹)</t>
  </si>
  <si>
    <t>GRP</t>
  </si>
  <si>
    <t>계정과목</t>
  </si>
  <si>
    <t>ACNCD</t>
  </si>
  <si>
    <t>고객</t>
  </si>
  <si>
    <t>CUS</t>
  </si>
  <si>
    <t>공고</t>
  </si>
  <si>
    <t>ANNCT</t>
  </si>
  <si>
    <t>PBLCT</t>
  </si>
  <si>
    <t>공공</t>
  </si>
  <si>
    <t>PBLIC</t>
  </si>
  <si>
    <t>공급</t>
  </si>
  <si>
    <t>SUPPLY</t>
  </si>
  <si>
    <t>공사</t>
  </si>
  <si>
    <t>CNSTT</t>
  </si>
  <si>
    <t>공수</t>
  </si>
  <si>
    <t>MONTH</t>
  </si>
  <si>
    <t>공시</t>
  </si>
  <si>
    <t>PNTC</t>
  </si>
  <si>
    <t>공종</t>
  </si>
  <si>
    <t>CNSKN</t>
  </si>
  <si>
    <t>과세</t>
  </si>
  <si>
    <t>TAXN</t>
  </si>
  <si>
    <t>관계회사</t>
  </si>
  <si>
    <t>AFFCM</t>
  </si>
  <si>
    <t>관련</t>
  </si>
  <si>
    <t>REL</t>
  </si>
  <si>
    <t>관리</t>
  </si>
  <si>
    <t>MANAGER</t>
  </si>
  <si>
    <t>관리</t>
    <phoneticPr fontId="2" type="noConversion"/>
  </si>
  <si>
    <t>AMN</t>
    <phoneticPr fontId="2" type="noConversion"/>
  </si>
  <si>
    <t>관리실</t>
  </si>
  <si>
    <t>OFC</t>
  </si>
  <si>
    <t>구분</t>
  </si>
  <si>
    <t>TP</t>
  </si>
  <si>
    <t>구분명</t>
  </si>
  <si>
    <t>DNM</t>
  </si>
  <si>
    <t>구분코드</t>
  </si>
  <si>
    <t>DCD</t>
  </si>
  <si>
    <t>구입</t>
    <phoneticPr fontId="2" type="noConversion"/>
  </si>
  <si>
    <t>PRCHS</t>
    <phoneticPr fontId="2" type="noConversion"/>
  </si>
  <si>
    <t>PURCHASE</t>
    <phoneticPr fontId="2" type="noConversion"/>
  </si>
  <si>
    <t>국가</t>
  </si>
  <si>
    <t>CNTRY</t>
  </si>
  <si>
    <t>군필</t>
  </si>
  <si>
    <t>MIL</t>
  </si>
  <si>
    <t>권한</t>
  </si>
  <si>
    <t>AUTHRTY</t>
  </si>
  <si>
    <t>규모</t>
  </si>
  <si>
    <t>SCL</t>
  </si>
  <si>
    <t>규칙</t>
  </si>
  <si>
    <t>RULE</t>
  </si>
  <si>
    <t>근거</t>
  </si>
  <si>
    <t>RSN</t>
  </si>
  <si>
    <t>기간</t>
  </si>
  <si>
    <t>TERM</t>
  </si>
  <si>
    <t>기관</t>
  </si>
  <si>
    <t>INST</t>
    <phoneticPr fontId="2" type="noConversion"/>
  </si>
  <si>
    <t>AGNC</t>
  </si>
  <si>
    <t>기성</t>
  </si>
  <si>
    <t>ESTB</t>
  </si>
  <si>
    <t>기술</t>
  </si>
  <si>
    <t>TECNL</t>
  </si>
  <si>
    <t>TECH</t>
  </si>
  <si>
    <t>기술자</t>
  </si>
  <si>
    <t>TCHNC</t>
  </si>
  <si>
    <t>기업</t>
  </si>
  <si>
    <t>CMP</t>
  </si>
  <si>
    <t>COM</t>
  </si>
  <si>
    <t>기준</t>
  </si>
  <si>
    <t>BASE</t>
  </si>
  <si>
    <t>UNIT</t>
  </si>
  <si>
    <t>STND</t>
  </si>
  <si>
    <t>BS</t>
  </si>
  <si>
    <t>기타</t>
  </si>
  <si>
    <t>ETC</t>
  </si>
  <si>
    <t>납부</t>
  </si>
  <si>
    <t>PAY</t>
  </si>
  <si>
    <t>납세</t>
  </si>
  <si>
    <t>TXPR</t>
  </si>
  <si>
    <t>납품</t>
  </si>
  <si>
    <t>DLVR</t>
  </si>
  <si>
    <t>CTNT</t>
  </si>
  <si>
    <t>내용</t>
    <phoneticPr fontId="2" type="noConversion"/>
  </si>
  <si>
    <t>CNTNT</t>
    <phoneticPr fontId="2" type="noConversion"/>
  </si>
  <si>
    <t>YYMM</t>
  </si>
  <si>
    <t>단기</t>
  </si>
  <si>
    <t>STRM</t>
  </si>
  <si>
    <t>담당</t>
    <phoneticPr fontId="2" type="noConversion"/>
  </si>
  <si>
    <t>LISON</t>
    <phoneticPr fontId="2" type="noConversion"/>
  </si>
  <si>
    <t>LIAISON</t>
    <phoneticPr fontId="2" type="noConversion"/>
  </si>
  <si>
    <t>당기</t>
  </si>
  <si>
    <t>NET</t>
  </si>
  <si>
    <t>당년</t>
  </si>
  <si>
    <t>THSTR</t>
  </si>
  <si>
    <t>당해(년도?)</t>
  </si>
  <si>
    <t>THEY</t>
  </si>
  <si>
    <t>대분류</t>
  </si>
  <si>
    <t>MAIN</t>
  </si>
  <si>
    <t>대상</t>
  </si>
  <si>
    <t>TRGT</t>
  </si>
  <si>
    <t>대체</t>
  </si>
  <si>
    <t>BACKUP</t>
  </si>
  <si>
    <t>대표</t>
  </si>
  <si>
    <t>REPRE</t>
  </si>
  <si>
    <t>대표자</t>
  </si>
  <si>
    <t>REPR</t>
  </si>
  <si>
    <t>데이터</t>
  </si>
  <si>
    <t>DATA</t>
  </si>
  <si>
    <t>등급</t>
  </si>
  <si>
    <t>GRD</t>
  </si>
  <si>
    <t>등록</t>
  </si>
  <si>
    <t>RGST</t>
  </si>
  <si>
    <t>REG</t>
  </si>
  <si>
    <t>로그인</t>
  </si>
  <si>
    <t>LOGIN</t>
  </si>
  <si>
    <t>만료</t>
  </si>
  <si>
    <t>EXPRT</t>
  </si>
  <si>
    <t>매출액</t>
  </si>
  <si>
    <t>SALES</t>
  </si>
  <si>
    <t>메뉴</t>
  </si>
  <si>
    <t>MENU</t>
  </si>
  <si>
    <t>메시지</t>
  </si>
  <si>
    <t>MSG</t>
  </si>
  <si>
    <t>면적</t>
  </si>
  <si>
    <t>AREA</t>
  </si>
  <si>
    <t>면허</t>
  </si>
  <si>
    <t>LCNS</t>
  </si>
  <si>
    <t>모델</t>
    <phoneticPr fontId="2" type="noConversion"/>
  </si>
  <si>
    <t>MDL</t>
    <phoneticPr fontId="2" type="noConversion"/>
  </si>
  <si>
    <t>MODEL</t>
    <phoneticPr fontId="2" type="noConversion"/>
  </si>
  <si>
    <t>모바일</t>
  </si>
  <si>
    <t>MOBILE</t>
  </si>
  <si>
    <t>목록</t>
    <phoneticPr fontId="2" type="noConversion"/>
  </si>
  <si>
    <t>LIST</t>
  </si>
  <si>
    <t>문서</t>
  </si>
  <si>
    <t>DOC</t>
  </si>
  <si>
    <t>반</t>
  </si>
  <si>
    <t>HALF</t>
  </si>
  <si>
    <t>반납</t>
    <phoneticPr fontId="2" type="noConversion"/>
  </si>
  <si>
    <t>RTRN</t>
    <phoneticPr fontId="2" type="noConversion"/>
  </si>
  <si>
    <t>RETURN</t>
    <phoneticPr fontId="2" type="noConversion"/>
  </si>
  <si>
    <t>발급</t>
    <phoneticPr fontId="2" type="noConversion"/>
  </si>
  <si>
    <t>ISSD</t>
    <phoneticPr fontId="2" type="noConversion"/>
  </si>
  <si>
    <t>ISSUED</t>
    <phoneticPr fontId="2" type="noConversion"/>
  </si>
  <si>
    <t>발급처</t>
  </si>
  <si>
    <t>ISS</t>
  </si>
  <si>
    <t>발생</t>
  </si>
  <si>
    <t>OCR</t>
  </si>
  <si>
    <t>발주자</t>
  </si>
  <si>
    <t>ORDRR</t>
  </si>
  <si>
    <t>법원</t>
  </si>
  <si>
    <t>CORT</t>
  </si>
  <si>
    <t>보유</t>
  </si>
  <si>
    <t>HLD</t>
  </si>
  <si>
    <t>보호</t>
  </si>
  <si>
    <t>PROT</t>
  </si>
  <si>
    <t>본</t>
  </si>
  <si>
    <t>HD</t>
  </si>
  <si>
    <t>본사</t>
  </si>
  <si>
    <t>HDQTS</t>
  </si>
  <si>
    <t>부가세</t>
  </si>
  <si>
    <t>VAT</t>
  </si>
  <si>
    <t>부도</t>
  </si>
  <si>
    <t>DSHNR</t>
  </si>
  <si>
    <t>부서</t>
  </si>
  <si>
    <t>DEPT</t>
  </si>
  <si>
    <t>부여</t>
  </si>
  <si>
    <t>GIVE</t>
  </si>
  <si>
    <t>부지</t>
  </si>
  <si>
    <t>LND</t>
  </si>
  <si>
    <t>부호</t>
    <phoneticPr fontId="2" type="noConversion"/>
  </si>
  <si>
    <t>SIGN</t>
  </si>
  <si>
    <t>분기</t>
  </si>
  <si>
    <t>QTR</t>
  </si>
  <si>
    <t>분류</t>
  </si>
  <si>
    <t>CLSFY</t>
  </si>
  <si>
    <t>비고</t>
  </si>
  <si>
    <t>RMK</t>
  </si>
  <si>
    <t>REMARKS</t>
  </si>
  <si>
    <t>REM</t>
  </si>
  <si>
    <t>비율</t>
  </si>
  <si>
    <t>RATIO</t>
  </si>
  <si>
    <t>사건</t>
  </si>
  <si>
    <t>EVNT</t>
  </si>
  <si>
    <t>사무, 지점</t>
  </si>
  <si>
    <t>OFFC</t>
  </si>
  <si>
    <t>사업</t>
  </si>
  <si>
    <t>WORK</t>
  </si>
  <si>
    <t>BSN</t>
  </si>
  <si>
    <t>사업자번호</t>
  </si>
  <si>
    <t>BIZNO</t>
  </si>
  <si>
    <t>사용</t>
  </si>
  <si>
    <t>USE</t>
  </si>
  <si>
    <t>사용자</t>
  </si>
  <si>
    <t>USER</t>
  </si>
  <si>
    <t>사원</t>
  </si>
  <si>
    <t>EMP</t>
  </si>
  <si>
    <t>사유</t>
  </si>
  <si>
    <t>CAUS</t>
  </si>
  <si>
    <t>삭제</t>
  </si>
  <si>
    <t>DEL</t>
  </si>
  <si>
    <t>산업</t>
  </si>
  <si>
    <t>INDPR</t>
  </si>
  <si>
    <t>상거래</t>
  </si>
  <si>
    <t>USL</t>
  </si>
  <si>
    <t>상세</t>
  </si>
  <si>
    <t>DTL</t>
  </si>
  <si>
    <t>상위</t>
  </si>
  <si>
    <t>UPPER</t>
  </si>
  <si>
    <t>상장</t>
  </si>
  <si>
    <t>STK</t>
  </si>
  <si>
    <t>생년</t>
  </si>
  <si>
    <t>BIRD</t>
  </si>
  <si>
    <t>생년월일</t>
  </si>
  <si>
    <t>BRDT</t>
  </si>
  <si>
    <t>생산</t>
  </si>
  <si>
    <t>PRDUT</t>
  </si>
  <si>
    <t>서비스</t>
  </si>
  <si>
    <t>SVC</t>
  </si>
  <si>
    <t>설립</t>
  </si>
  <si>
    <t>FNDN</t>
  </si>
  <si>
    <t>FNDT</t>
  </si>
  <si>
    <t>DESC</t>
  </si>
  <si>
    <t>성별</t>
  </si>
  <si>
    <t>GNDR</t>
  </si>
  <si>
    <t>세금</t>
  </si>
  <si>
    <t>TAX</t>
  </si>
  <si>
    <t>세액</t>
  </si>
  <si>
    <t>TXAMT</t>
  </si>
  <si>
    <t>소속</t>
  </si>
  <si>
    <t>BELONG</t>
  </si>
  <si>
    <t>소재</t>
  </si>
  <si>
    <t>RSD</t>
  </si>
  <si>
    <t>속성</t>
  </si>
  <si>
    <t>ATTR</t>
  </si>
  <si>
    <t>수량</t>
  </si>
  <si>
    <t>QNTY</t>
  </si>
  <si>
    <t>수상</t>
  </si>
  <si>
    <t>PRIZE</t>
  </si>
  <si>
    <t>수상자</t>
  </si>
  <si>
    <t>PRIZER</t>
  </si>
  <si>
    <t>수여자</t>
  </si>
  <si>
    <t>PRSNTR</t>
  </si>
  <si>
    <t>수정</t>
  </si>
  <si>
    <t>MDF</t>
  </si>
  <si>
    <t>수정일</t>
  </si>
  <si>
    <t>MODIDATE</t>
  </si>
  <si>
    <t>수행</t>
  </si>
  <si>
    <t>PRCS</t>
  </si>
  <si>
    <t>순서</t>
  </si>
  <si>
    <t>ORD</t>
  </si>
  <si>
    <t>시공</t>
  </si>
  <si>
    <t>CSTR</t>
  </si>
  <si>
    <t>시리얼</t>
    <phoneticPr fontId="2" type="noConversion"/>
  </si>
  <si>
    <t>SERIAL</t>
    <phoneticPr fontId="2" type="noConversion"/>
  </si>
  <si>
    <t>SERIAL</t>
    <phoneticPr fontId="2" type="noConversion"/>
  </si>
  <si>
    <t>시작</t>
  </si>
  <si>
    <t>ST</t>
  </si>
  <si>
    <t>시작일</t>
    <phoneticPr fontId="2" type="noConversion"/>
  </si>
  <si>
    <t>STDT</t>
  </si>
  <si>
    <t>도메인오류</t>
    <phoneticPr fontId="2" type="noConversion"/>
  </si>
  <si>
    <t>시작일</t>
    <phoneticPr fontId="2" type="noConversion"/>
  </si>
  <si>
    <t>SDATE</t>
    <phoneticPr fontId="2" type="noConversion"/>
  </si>
  <si>
    <t>시행</t>
  </si>
  <si>
    <t>ENFR</t>
  </si>
  <si>
    <t>식대</t>
  </si>
  <si>
    <t>MEALS</t>
  </si>
  <si>
    <t>신기술</t>
  </si>
  <si>
    <t>NTCH</t>
  </si>
  <si>
    <t>신용</t>
  </si>
  <si>
    <t>CRDT</t>
  </si>
  <si>
    <t>신청</t>
    <phoneticPr fontId="2" type="noConversion"/>
  </si>
  <si>
    <t>APLCTN</t>
    <phoneticPr fontId="2" type="noConversion"/>
  </si>
  <si>
    <t>APPLICATION</t>
    <phoneticPr fontId="2" type="noConversion"/>
  </si>
  <si>
    <t>실제</t>
  </si>
  <si>
    <t>ACTL</t>
  </si>
  <si>
    <t>REAL</t>
  </si>
  <si>
    <t>아이디</t>
  </si>
  <si>
    <t>ID</t>
  </si>
  <si>
    <t>알림</t>
  </si>
  <si>
    <t>RECIPIENT</t>
  </si>
  <si>
    <t>업무</t>
  </si>
  <si>
    <t>BIZ</t>
  </si>
  <si>
    <t>업종</t>
  </si>
  <si>
    <t>JB</t>
  </si>
  <si>
    <t>업체</t>
  </si>
  <si>
    <t>COMPANY</t>
  </si>
  <si>
    <t>업태</t>
  </si>
  <si>
    <t>BZST</t>
  </si>
  <si>
    <t>IS</t>
  </si>
  <si>
    <t>역할</t>
  </si>
  <si>
    <t>ROLE</t>
  </si>
  <si>
    <t>연체</t>
  </si>
  <si>
    <t>DLQ</t>
  </si>
  <si>
    <t>연혁</t>
  </si>
  <si>
    <t>HIST</t>
  </si>
  <si>
    <t>영문</t>
  </si>
  <si>
    <t>ENG</t>
  </si>
  <si>
    <t>예정</t>
  </si>
  <si>
    <t>EXPCT</t>
    <phoneticPr fontId="2" type="noConversion"/>
  </si>
  <si>
    <t>EXPECTED</t>
    <phoneticPr fontId="2" type="noConversion"/>
  </si>
  <si>
    <t>와치</t>
  </si>
  <si>
    <t>WATCH</t>
  </si>
  <si>
    <t>외주</t>
  </si>
  <si>
    <t>EXT</t>
  </si>
  <si>
    <t>요청</t>
  </si>
  <si>
    <t>REQ</t>
  </si>
  <si>
    <t>용도</t>
    <phoneticPr fontId="2" type="noConversion"/>
  </si>
  <si>
    <t>USAGE</t>
    <phoneticPr fontId="2" type="noConversion"/>
  </si>
  <si>
    <t>USAGE</t>
    <phoneticPr fontId="2" type="noConversion"/>
  </si>
  <si>
    <t>우편</t>
  </si>
  <si>
    <t>ZIP</t>
  </si>
  <si>
    <t>원격</t>
  </si>
  <si>
    <t>REMOTE</t>
  </si>
  <si>
    <t>원본</t>
  </si>
  <si>
    <t>ORGIN</t>
  </si>
  <si>
    <t>웹</t>
  </si>
  <si>
    <t>WEB</t>
  </si>
  <si>
    <t>위반</t>
  </si>
  <si>
    <t>VIOL</t>
  </si>
  <si>
    <t>위험</t>
  </si>
  <si>
    <t>RISK</t>
  </si>
  <si>
    <t>유예</t>
  </si>
  <si>
    <t>DLY</t>
  </si>
  <si>
    <t>유효</t>
  </si>
  <si>
    <t>VLD</t>
  </si>
  <si>
    <t>윤달</t>
  </si>
  <si>
    <t>LEAP</t>
  </si>
  <si>
    <t>은행</t>
  </si>
  <si>
    <t>BK</t>
  </si>
  <si>
    <t>음력</t>
  </si>
  <si>
    <t>LUNAR</t>
  </si>
  <si>
    <t>의견</t>
  </si>
  <si>
    <t>CMMNT</t>
  </si>
  <si>
    <t>이메일</t>
  </si>
  <si>
    <t>EMAIL</t>
  </si>
  <si>
    <t>이익</t>
  </si>
  <si>
    <t>BNFT</t>
  </si>
  <si>
    <t>인력단가</t>
  </si>
  <si>
    <t>COST</t>
  </si>
  <si>
    <t>인턴</t>
  </si>
  <si>
    <t>JOIN</t>
  </si>
  <si>
    <t>일</t>
  </si>
  <si>
    <t>JOB</t>
  </si>
  <si>
    <t>일련번호</t>
  </si>
  <si>
    <t>SEQ</t>
  </si>
  <si>
    <t>일반</t>
  </si>
  <si>
    <t>GMC</t>
  </si>
  <si>
    <t>DATE</t>
  </si>
  <si>
    <t>임원</t>
  </si>
  <si>
    <t>EXCV</t>
  </si>
  <si>
    <t>입금</t>
  </si>
  <si>
    <t>DEPST</t>
  </si>
  <si>
    <t>IN</t>
  </si>
  <si>
    <t>입사</t>
    <phoneticPr fontId="2" type="noConversion"/>
  </si>
  <si>
    <t>ENT</t>
    <phoneticPr fontId="2" type="noConversion"/>
  </si>
  <si>
    <t>입학</t>
  </si>
  <si>
    <t>ENTC</t>
  </si>
  <si>
    <t>ENTR</t>
  </si>
  <si>
    <t>자격</t>
  </si>
  <si>
    <t>LICE</t>
  </si>
  <si>
    <t>CERT</t>
    <phoneticPr fontId="2" type="noConversion"/>
  </si>
  <si>
    <t>CERTIFICATE</t>
    <phoneticPr fontId="2" type="noConversion"/>
  </si>
  <si>
    <t>증명서</t>
    <phoneticPr fontId="2" type="noConversion"/>
  </si>
  <si>
    <t>자격증</t>
  </si>
  <si>
    <t>LICENSE</t>
  </si>
  <si>
    <t>자기</t>
  </si>
  <si>
    <t>SELF</t>
  </si>
  <si>
    <t>자료</t>
  </si>
  <si>
    <t>SHARE</t>
  </si>
  <si>
    <t>SOURCE</t>
  </si>
  <si>
    <t>MATRL</t>
  </si>
  <si>
    <t>자본금</t>
  </si>
  <si>
    <t>CPT</t>
  </si>
  <si>
    <t>자산</t>
  </si>
  <si>
    <t>ASST</t>
  </si>
  <si>
    <t>ASSET</t>
    <phoneticPr fontId="2" type="noConversion"/>
  </si>
  <si>
    <t>장(장소)</t>
  </si>
  <si>
    <t>PLC</t>
  </si>
  <si>
    <t>장비</t>
  </si>
  <si>
    <t>EQMNT</t>
  </si>
  <si>
    <t>재개</t>
  </si>
  <si>
    <t>RPN</t>
  </si>
  <si>
    <t>재무</t>
  </si>
  <si>
    <t>FNNCL</t>
  </si>
  <si>
    <t>재판부</t>
  </si>
  <si>
    <t>JUDEP</t>
  </si>
  <si>
    <t>적용</t>
  </si>
  <si>
    <t>APLY</t>
  </si>
  <si>
    <t>전공</t>
  </si>
  <si>
    <t>MAJOR</t>
  </si>
  <si>
    <t>전국</t>
  </si>
  <si>
    <t>WHLCN</t>
  </si>
  <si>
    <t>전문기술</t>
  </si>
  <si>
    <t>EXPRIS</t>
  </si>
  <si>
    <t>전화</t>
  </si>
  <si>
    <t>PONE</t>
  </si>
  <si>
    <t>전화</t>
    <phoneticPr fontId="2" type="noConversion"/>
  </si>
  <si>
    <t>TEL</t>
  </si>
  <si>
    <t>점수</t>
  </si>
  <si>
    <t>SCR</t>
  </si>
  <si>
    <t>정보</t>
  </si>
  <si>
    <t>INF</t>
  </si>
  <si>
    <t>정지</t>
  </si>
  <si>
    <t>SUSPN</t>
  </si>
  <si>
    <t>제공</t>
  </si>
  <si>
    <t>SPLY</t>
  </si>
  <si>
    <t>제목</t>
  </si>
  <si>
    <t>TITLE</t>
  </si>
  <si>
    <t>제재</t>
  </si>
  <si>
    <t>SNCT</t>
  </si>
  <si>
    <t>제조</t>
  </si>
  <si>
    <t>MFCT</t>
  </si>
  <si>
    <t>제출</t>
    <phoneticPr fontId="2" type="noConversion"/>
  </si>
  <si>
    <t>SUBM</t>
    <phoneticPr fontId="2" type="noConversion"/>
  </si>
  <si>
    <t>SUBMIT</t>
    <phoneticPr fontId="2" type="noConversion"/>
  </si>
  <si>
    <t>제품</t>
  </si>
  <si>
    <t>PDC</t>
  </si>
  <si>
    <t>조항</t>
  </si>
  <si>
    <t>CLUS</t>
  </si>
  <si>
    <t>조회</t>
  </si>
  <si>
    <t>INQ</t>
  </si>
  <si>
    <t>졸업</t>
  </si>
  <si>
    <t>GRAD</t>
  </si>
  <si>
    <t>종료</t>
    <phoneticPr fontId="2" type="noConversion"/>
  </si>
  <si>
    <t>ED</t>
    <phoneticPr fontId="2" type="noConversion"/>
  </si>
  <si>
    <t>종료</t>
  </si>
  <si>
    <t>END</t>
  </si>
  <si>
    <t>종료일</t>
  </si>
  <si>
    <t>ENDT</t>
  </si>
  <si>
    <t>종료일</t>
    <phoneticPr fontId="2" type="noConversion"/>
  </si>
  <si>
    <t>EDATE</t>
    <phoneticPr fontId="2" type="noConversion"/>
  </si>
  <si>
    <t>도메인오류</t>
    <phoneticPr fontId="2" type="noConversion"/>
  </si>
  <si>
    <t>종류</t>
  </si>
  <si>
    <t>KND</t>
  </si>
  <si>
    <t>종업원</t>
  </si>
  <si>
    <t>EMPE</t>
  </si>
  <si>
    <t>종합</t>
  </si>
  <si>
    <t>SYNTH</t>
  </si>
  <si>
    <t>주</t>
  </si>
  <si>
    <t>WEEK</t>
  </si>
  <si>
    <t>주거래</t>
  </si>
  <si>
    <t>MNTX</t>
  </si>
  <si>
    <t>주민번호7자리</t>
  </si>
  <si>
    <t>PID</t>
  </si>
  <si>
    <t>ADDRESS</t>
  </si>
  <si>
    <t>주소</t>
    <phoneticPr fontId="2" type="noConversion"/>
  </si>
  <si>
    <t>ADDR</t>
    <phoneticPr fontId="2" type="noConversion"/>
  </si>
  <si>
    <t>URL</t>
  </si>
  <si>
    <t>주식</t>
  </si>
  <si>
    <t>STCK</t>
  </si>
  <si>
    <t>주요</t>
  </si>
  <si>
    <t>PRM</t>
  </si>
  <si>
    <t>주요제품</t>
  </si>
  <si>
    <t>PROD</t>
  </si>
  <si>
    <t>주주</t>
  </si>
  <si>
    <t>STCKH</t>
  </si>
  <si>
    <t>준공</t>
  </si>
  <si>
    <t>CMPLT</t>
  </si>
  <si>
    <t>중간</t>
  </si>
  <si>
    <t>MD</t>
  </si>
  <si>
    <t>중분류</t>
  </si>
  <si>
    <t>MIDL</t>
  </si>
  <si>
    <t>증빙</t>
  </si>
  <si>
    <t>EVIDN</t>
  </si>
  <si>
    <t>지분</t>
  </si>
  <si>
    <t>SH</t>
  </si>
  <si>
    <t>지수</t>
  </si>
  <si>
    <t>IDX</t>
  </si>
  <si>
    <t>지역</t>
  </si>
  <si>
    <t>LOC</t>
  </si>
  <si>
    <t>지원</t>
  </si>
  <si>
    <t>APPL</t>
  </si>
  <si>
    <t>지점</t>
  </si>
  <si>
    <t>BRN</t>
  </si>
  <si>
    <t>지정</t>
  </si>
  <si>
    <t>APNT</t>
  </si>
  <si>
    <t>직급</t>
  </si>
  <si>
    <t>POST</t>
  </si>
  <si>
    <t>직무</t>
  </si>
  <si>
    <t>EMPL</t>
  </si>
  <si>
    <t>직위</t>
  </si>
  <si>
    <t>POS</t>
  </si>
  <si>
    <t>직책</t>
  </si>
  <si>
    <t>DUTY</t>
  </si>
  <si>
    <t>착공</t>
  </si>
  <si>
    <t>BGNCN</t>
  </si>
  <si>
    <t>참조</t>
  </si>
  <si>
    <t>REF</t>
  </si>
  <si>
    <t>채무자</t>
  </si>
  <si>
    <t>DBTR</t>
  </si>
  <si>
    <t>채번</t>
  </si>
  <si>
    <t>NMBRING</t>
  </si>
  <si>
    <t>처분</t>
  </si>
  <si>
    <t>DSPS</t>
  </si>
  <si>
    <t>첨부</t>
  </si>
  <si>
    <t>ATTACH</t>
  </si>
  <si>
    <t>체크</t>
  </si>
  <si>
    <t>CHK</t>
  </si>
  <si>
    <t>최종</t>
  </si>
  <si>
    <t>LST</t>
  </si>
  <si>
    <t>추가</t>
  </si>
  <si>
    <t>ADD</t>
  </si>
  <si>
    <t>출력</t>
  </si>
  <si>
    <t>OUT</t>
  </si>
  <si>
    <t>출처</t>
  </si>
  <si>
    <t>SRC</t>
  </si>
  <si>
    <t>취득</t>
  </si>
  <si>
    <t>ACQ</t>
  </si>
  <si>
    <t>탈퇴</t>
  </si>
  <si>
    <t>LEAVE</t>
  </si>
  <si>
    <t>투입</t>
  </si>
  <si>
    <t>PL</t>
  </si>
  <si>
    <t>특수</t>
  </si>
  <si>
    <t>SPE</t>
  </si>
  <si>
    <t>파일</t>
  </si>
  <si>
    <t>FILE</t>
  </si>
  <si>
    <t>패스워드</t>
  </si>
  <si>
    <t>PSWD</t>
  </si>
  <si>
    <t>팩스</t>
  </si>
  <si>
    <t>FAX</t>
  </si>
  <si>
    <t>평가</t>
  </si>
  <si>
    <t>EVAL</t>
  </si>
  <si>
    <t>폐업</t>
  </si>
  <si>
    <t>GVP</t>
  </si>
  <si>
    <t>표준</t>
  </si>
  <si>
    <t>FST</t>
  </si>
  <si>
    <t>품목</t>
  </si>
  <si>
    <t>ITMS</t>
  </si>
  <si>
    <t>프로그램</t>
  </si>
  <si>
    <t>PGM</t>
  </si>
  <si>
    <t>프로젝트</t>
  </si>
  <si>
    <t>PRJ</t>
  </si>
  <si>
    <t>PJ</t>
  </si>
  <si>
    <t>RPT</t>
  </si>
  <si>
    <t>프로젝트 매니저</t>
  </si>
  <si>
    <t>PM</t>
  </si>
  <si>
    <t>프로파일</t>
  </si>
  <si>
    <t>PROFILE</t>
  </si>
  <si>
    <t>하도급</t>
  </si>
  <si>
    <t>SBCNT</t>
  </si>
  <si>
    <t>학교</t>
  </si>
  <si>
    <t>SCH</t>
  </si>
  <si>
    <t>학력</t>
  </si>
  <si>
    <t>EDU</t>
  </si>
  <si>
    <t>SCHOLAR</t>
  </si>
  <si>
    <t>학위</t>
  </si>
  <si>
    <t>DEGREE</t>
  </si>
  <si>
    <t>합계</t>
  </si>
  <si>
    <t>TOT</t>
  </si>
  <si>
    <t>총</t>
    <phoneticPr fontId="2" type="noConversion"/>
  </si>
  <si>
    <t>SUM</t>
  </si>
  <si>
    <t>항목</t>
    <phoneticPr fontId="2" type="noConversion"/>
  </si>
  <si>
    <t>ITM</t>
    <phoneticPr fontId="2" type="noConversion"/>
  </si>
  <si>
    <t>ITEM</t>
    <phoneticPr fontId="2" type="noConversion"/>
  </si>
  <si>
    <t>해제</t>
  </si>
  <si>
    <t>ACQTL</t>
  </si>
  <si>
    <t>행선지</t>
  </si>
  <si>
    <t>DEST</t>
  </si>
  <si>
    <t>행정</t>
  </si>
  <si>
    <t>ADM</t>
  </si>
  <si>
    <t>현금</t>
  </si>
  <si>
    <t>CASH</t>
  </si>
  <si>
    <t>현재</t>
  </si>
  <si>
    <t>CURR</t>
  </si>
  <si>
    <t>호</t>
  </si>
  <si>
    <t>HO</t>
  </si>
  <si>
    <t>화면</t>
  </si>
  <si>
    <t>SCRN</t>
  </si>
  <si>
    <t>VIEW</t>
  </si>
  <si>
    <t>회계</t>
  </si>
  <si>
    <t>ACNT</t>
  </si>
  <si>
    <t>회사</t>
  </si>
  <si>
    <t>CORP</t>
  </si>
  <si>
    <t>회생</t>
  </si>
  <si>
    <t>RCVR</t>
  </si>
  <si>
    <t>휴가</t>
  </si>
  <si>
    <t>OFF</t>
  </si>
  <si>
    <t>휴대전화</t>
    <phoneticPr fontId="2" type="noConversion"/>
  </si>
  <si>
    <t>MOBILE</t>
    <phoneticPr fontId="2" type="noConversion"/>
  </si>
  <si>
    <t>휴일</t>
  </si>
  <si>
    <t>HOLIDAY</t>
  </si>
  <si>
    <t>휴폐업</t>
  </si>
  <si>
    <t>SUS</t>
  </si>
  <si>
    <t>test</t>
    <phoneticPr fontId="2" type="noConversion"/>
  </si>
  <si>
    <t>만기일시</t>
  </si>
  <si>
    <t>원금균등</t>
  </si>
  <si>
    <t>원리금균등</t>
  </si>
  <si>
    <t>초</t>
    <phoneticPr fontId="2" type="noConversion"/>
  </si>
  <si>
    <t>말</t>
    <phoneticPr fontId="2" type="noConversion"/>
  </si>
  <si>
    <t>NO(회차)</t>
    <phoneticPr fontId="2" type="noConversion"/>
  </si>
  <si>
    <t>대상금액</t>
    <phoneticPr fontId="2" type="noConversion"/>
  </si>
  <si>
    <t>시작일자</t>
    <phoneticPr fontId="2" type="noConversion"/>
  </si>
  <si>
    <t>종료일자</t>
    <phoneticPr fontId="2" type="noConversion"/>
  </si>
  <si>
    <t>일수</t>
    <phoneticPr fontId="2" type="noConversion"/>
  </si>
  <si>
    <t>이율</t>
    <phoneticPr fontId="2" type="noConversion"/>
  </si>
  <si>
    <t>이자</t>
    <phoneticPr fontId="2" type="noConversion"/>
  </si>
  <si>
    <t>R</t>
    <phoneticPr fontId="2" type="noConversion"/>
  </si>
  <si>
    <t>M</t>
    <phoneticPr fontId="2" type="noConversion"/>
  </si>
  <si>
    <t>N</t>
    <phoneticPr fontId="2" type="noConversion"/>
  </si>
  <si>
    <t>D</t>
    <phoneticPr fontId="2" type="noConversion"/>
  </si>
  <si>
    <t>원리금</t>
    <phoneticPr fontId="2" type="noConversion"/>
  </si>
  <si>
    <t>원금(월납부원금)</t>
    <phoneticPr fontId="2" type="noConversion"/>
  </si>
  <si>
    <t>원리금균등금액산출산식
    R=(이율/12)
    M=(1+R)^총회차
    N=계약금액*R*M
    D=M-1
    원리금균등금액=N/D
이자계산방법
    만기일시/원금균등
        &gt; 대상금액 * 일수 * 이율(%) / 365
    원리금균등
        &gt; 대상금액 * 이율(%) / 12</t>
    <phoneticPr fontId="2" type="noConversion"/>
  </si>
  <si>
    <t>원금균등/만기일시</t>
    <phoneticPr fontId="2" type="noConversion"/>
  </si>
  <si>
    <t>(원리금균등)이자+월납부원금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</si>
</sst>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0_);[Red]\(0\)"/>
    <numFmt numFmtId="178" formatCode="#,##0;[Red]#,##0"/>
    <numFmt numFmtId="179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9" fontId="0" fillId="0" borderId="0" xfId="0" applyNumberFormat="1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4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41" fontId="0" fillId="2" borderId="1" xfId="1" applyFont="1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Border="1">
      <alignment vertical="center"/>
    </xf>
    <xf numFmtId="14" fontId="0" fillId="0" borderId="1" xfId="0" applyNumberFormat="1" applyBorder="1">
      <alignment vertical="center"/>
    </xf>
    <xf numFmtId="14" fontId="0" fillId="3" borderId="1" xfId="0" applyNumberFormat="1" applyFill="1" applyBorder="1">
      <alignment vertical="center"/>
    </xf>
    <xf numFmtId="177" fontId="0" fillId="0" borderId="0" xfId="0" applyNumberFormat="1">
      <alignment vertical="center"/>
    </xf>
    <xf numFmtId="177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9" fontId="0" fillId="0" borderId="0" xfId="2" applyFont="1">
      <alignment vertical="center"/>
    </xf>
    <xf numFmtId="178" fontId="0" fillId="0" borderId="1" xfId="0" applyNumberFormat="1" applyBorder="1">
      <alignment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  <xf numFmtId="179" fontId="0" fillId="2" borderId="1" xfId="0" applyNumberFormat="1" applyFill="1" applyBorder="1">
      <alignment vertical="center"/>
    </xf>
    <xf numFmtId="179" fontId="0" fillId="0" borderId="1" xfId="0" applyNumberFormat="1" applyBorder="1">
      <alignment vertical="center"/>
    </xf>
    <xf numFmtId="179" fontId="0" fillId="0" borderId="0" xfId="0" applyNumberFormat="1">
      <alignment vertical="center"/>
    </xf>
    <xf numFmtId="176" fontId="0" fillId="2" borderId="1" xfId="0" applyNumberFormat="1" applyFill="1" applyBorder="1">
      <alignment vertical="center"/>
    </xf>
    <xf numFmtId="176" fontId="0" fillId="0" borderId="0" xfId="0" applyNumberForma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B6" fmlaRange="상환_sub!$A$1:$A$3" noThreeD="1" sel="3" val="0"/>
</file>

<file path=xl/ctrlProps/ctrlProp2.xml><?xml version="1.0" encoding="utf-8"?>
<formControlPr xmlns="http://schemas.microsoft.com/office/spreadsheetml/2009/9/main" objectType="Drop" dropStyle="combo" dx="16" fmlaLink="$B$9" fmlaRange="상환_sub!$A$4:$A$5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5</xdr:row>
          <xdr:rowOff>990600</xdr:rowOff>
        </xdr:from>
        <xdr:to>
          <xdr:col>1</xdr:col>
          <xdr:colOff>2219325</xdr:colOff>
          <xdr:row>5</xdr:row>
          <xdr:rowOff>1238250</xdr:rowOff>
        </xdr:to>
        <xdr:sp macro="" textlink="">
          <xdr:nvSpPr>
            <xdr:cNvPr id="3078" name="Drop Dow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1181100</xdr:colOff>
          <xdr:row>8</xdr:row>
          <xdr:rowOff>9525</xdr:rowOff>
        </xdr:from>
        <xdr:to>
          <xdr:col>1</xdr:col>
          <xdr:colOff>2219325</xdr:colOff>
          <xdr:row>9</xdr:row>
          <xdr:rowOff>0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142875</xdr:colOff>
          <xdr:row>5</xdr:row>
          <xdr:rowOff>676275</xdr:rowOff>
        </xdr:from>
        <xdr:to>
          <xdr:col>4</xdr:col>
          <xdr:colOff>666750</xdr:colOff>
          <xdr:row>5</xdr:row>
          <xdr:rowOff>1038225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상환스케쥴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1</xdr:row>
          <xdr:rowOff>0</xdr:rowOff>
        </xdr:from>
        <xdr:to>
          <xdr:col>4</xdr:col>
          <xdr:colOff>638175</xdr:colOff>
          <xdr:row>1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43"/>
  <sheetViews>
    <sheetView tabSelected="1" zoomScaleNormal="100" workbookViewId="0">
      <selection activeCell="B3" sqref="B3"/>
    </sheetView>
  </sheetViews>
  <sheetFormatPr defaultRowHeight="16.5" x14ac:dyDescent="0.3"/>
  <cols>
    <col min="1" max="1" width="20.5" bestFit="1" customWidth="1"/>
    <col min="2" max="2" width="29.25" bestFit="1" customWidth="1"/>
    <col min="3" max="3" width="38.125" bestFit="1" customWidth="1"/>
    <col min="4" max="4" width="9.5" bestFit="1" customWidth="1"/>
    <col min="5" max="5" width="11.125" customWidth="1"/>
    <col min="6" max="6" width="9.125" customWidth="1"/>
    <col min="7" max="7" width="14.375" style="26" customWidth="1"/>
    <col min="8" max="8" width="11.125" style="3" bestFit="1" customWidth="1"/>
    <col min="9" max="9" width="12.25" style="3" customWidth="1"/>
    <col min="10" max="10" width="13.625" style="14" customWidth="1"/>
    <col min="11" max="11" width="9" style="18"/>
    <col min="12" max="12" width="11.5" style="2" customWidth="1"/>
    <col min="13" max="13" width="14.125" style="24" customWidth="1"/>
    <col min="14" max="14" width="16.625" style="24" customWidth="1"/>
    <col min="15" max="15" width="26.625" style="20" customWidth="1"/>
    <col min="16" max="16" width="9.375" bestFit="1" customWidth="1"/>
    <col min="17" max="17" width="13.5" bestFit="1" customWidth="1"/>
    <col min="18" max="18" width="10.875" bestFit="1" customWidth="1"/>
    <col min="19" max="19" width="13.5" bestFit="1" customWidth="1"/>
  </cols>
  <sheetData>
    <row r="1" spans="1:16" x14ac:dyDescent="0.3">
      <c r="A1" s="7" t="s">
        <v>10</v>
      </c>
      <c r="B1" s="7" t="s">
        <v>12</v>
      </c>
      <c r="C1" s="7" t="s">
        <v>17</v>
      </c>
      <c r="F1" s="6" t="s">
        <v>700</v>
      </c>
      <c r="G1" s="25" t="s">
        <v>701</v>
      </c>
      <c r="H1" s="6" t="s">
        <v>702</v>
      </c>
      <c r="I1" s="6" t="s">
        <v>703</v>
      </c>
      <c r="J1" s="6" t="s">
        <v>704</v>
      </c>
      <c r="K1" s="6" t="s">
        <v>705</v>
      </c>
      <c r="L1" s="9">
        <v>365</v>
      </c>
      <c r="M1" s="22" t="s">
        <v>706</v>
      </c>
      <c r="N1" s="22" t="s">
        <v>712</v>
      </c>
      <c r="O1" s="20" t="s">
        <v>715</v>
      </c>
    </row>
    <row r="2" spans="1:16" x14ac:dyDescent="0.3">
      <c r="A2" s="6" t="s">
        <v>1</v>
      </c>
      <c r="B2" s="19">
        <v>12000000</v>
      </c>
      <c r="C2" s="5"/>
      <c r="F2" s="5">
        <v>1</v>
      </c>
      <c r="G2" s="11">
        <v>12000000</v>
      </c>
      <c r="H2" s="12">
        <v>45292</v>
      </c>
      <c r="I2" s="12">
        <v>45323</v>
      </c>
      <c r="J2" s="15">
        <v>31</v>
      </c>
      <c r="K2" s="17">
        <v>0.05</v>
      </c>
      <c r="L2" s="16"/>
      <c r="M2" s="23">
        <v>50000</v>
      </c>
      <c r="N2" s="23">
        <v>977289</v>
      </c>
      <c r="O2" s="24">
        <f>SUM(M2,N2)</f>
        <v>1027289</v>
      </c>
      <c r="P2" s="21"/>
    </row>
    <row r="3" spans="1:16" x14ac:dyDescent="0.3">
      <c r="A3" s="6" t="s">
        <v>6</v>
      </c>
      <c r="B3" s="11">
        <v>12</v>
      </c>
      <c r="C3" s="5"/>
      <c r="F3" s="5">
        <v>2</v>
      </c>
      <c r="G3" s="11">
        <v>11022711</v>
      </c>
      <c r="H3" s="12">
        <v>45323</v>
      </c>
      <c r="I3" s="12">
        <v>45352</v>
      </c>
      <c r="J3" s="15">
        <v>29</v>
      </c>
      <c r="K3" s="17">
        <v>0.05</v>
      </c>
      <c r="L3" s="16"/>
      <c r="M3" s="23">
        <v>45927</v>
      </c>
      <c r="N3" s="23">
        <v>981362</v>
      </c>
      <c r="O3" s="24">
        <f t="shared" ref="O3:O21" si="0">SUM(M3,N3)</f>
        <v>1027289</v>
      </c>
    </row>
    <row r="4" spans="1:16" x14ac:dyDescent="0.3">
      <c r="A4" s="6" t="s">
        <v>2</v>
      </c>
      <c r="B4" s="12">
        <v>45292</v>
      </c>
      <c r="C4" s="5"/>
      <c r="F4" s="5">
        <v>3</v>
      </c>
      <c r="G4" s="11">
        <v>10041349</v>
      </c>
      <c r="H4" s="12">
        <v>45352</v>
      </c>
      <c r="I4" s="12">
        <v>45383</v>
      </c>
      <c r="J4" s="15">
        <v>31</v>
      </c>
      <c r="K4" s="17">
        <v>0.05</v>
      </c>
      <c r="L4" s="16"/>
      <c r="M4" s="23">
        <v>41838</v>
      </c>
      <c r="N4" s="23">
        <v>985451</v>
      </c>
      <c r="O4" s="24">
        <f t="shared" si="0"/>
        <v>1027289</v>
      </c>
    </row>
    <row r="5" spans="1:16" x14ac:dyDescent="0.3">
      <c r="A5" s="7" t="s">
        <v>3</v>
      </c>
      <c r="B5" s="13">
        <f>EDATE(B4,B3)</f>
        <v>45658</v>
      </c>
      <c r="C5" s="5" t="s">
        <v>13</v>
      </c>
      <c r="F5" s="5">
        <v>4</v>
      </c>
      <c r="G5" s="11">
        <v>9055898</v>
      </c>
      <c r="H5" s="12">
        <v>45383</v>
      </c>
      <c r="I5" s="12">
        <v>45413</v>
      </c>
      <c r="J5" s="15">
        <v>30</v>
      </c>
      <c r="K5" s="17">
        <v>0.05</v>
      </c>
      <c r="L5" s="16"/>
      <c r="M5" s="23">
        <v>37732</v>
      </c>
      <c r="N5" s="23">
        <v>989557</v>
      </c>
      <c r="O5" s="24">
        <f t="shared" si="0"/>
        <v>1027289</v>
      </c>
    </row>
    <row r="6" spans="1:16" ht="181.5" x14ac:dyDescent="0.3">
      <c r="A6" s="6" t="s">
        <v>4</v>
      </c>
      <c r="B6" s="8">
        <v>3</v>
      </c>
      <c r="C6" s="8" t="s">
        <v>713</v>
      </c>
      <c r="F6" s="5">
        <v>5</v>
      </c>
      <c r="G6" s="11">
        <v>8066341</v>
      </c>
      <c r="H6" s="12">
        <v>45413</v>
      </c>
      <c r="I6" s="12">
        <v>45444</v>
      </c>
      <c r="J6" s="15">
        <v>31</v>
      </c>
      <c r="K6" s="17">
        <v>0.05</v>
      </c>
      <c r="L6" s="16"/>
      <c r="M6" s="23">
        <v>33609</v>
      </c>
      <c r="N6" s="23">
        <v>993680</v>
      </c>
      <c r="O6" s="24">
        <f t="shared" si="0"/>
        <v>1027289</v>
      </c>
    </row>
    <row r="7" spans="1:16" x14ac:dyDescent="0.3">
      <c r="A7" s="6" t="s">
        <v>5</v>
      </c>
      <c r="B7" s="17">
        <v>0.05</v>
      </c>
      <c r="C7" s="5"/>
      <c r="F7" s="5">
        <v>6</v>
      </c>
      <c r="G7" s="11">
        <v>7072661</v>
      </c>
      <c r="H7" s="12">
        <v>45444</v>
      </c>
      <c r="I7" s="12">
        <v>45474</v>
      </c>
      <c r="J7" s="15">
        <v>30</v>
      </c>
      <c r="K7" s="17">
        <v>0.05</v>
      </c>
      <c r="L7" s="16"/>
      <c r="M7" s="23">
        <v>29469</v>
      </c>
      <c r="N7" s="23">
        <v>997820</v>
      </c>
      <c r="O7" s="24">
        <f t="shared" si="0"/>
        <v>1027289</v>
      </c>
    </row>
    <row r="8" spans="1:16" x14ac:dyDescent="0.3">
      <c r="A8" s="6" t="s">
        <v>7</v>
      </c>
      <c r="B8" s="12"/>
      <c r="C8" s="5" t="s">
        <v>714</v>
      </c>
      <c r="F8" s="5">
        <v>7</v>
      </c>
      <c r="G8" s="11">
        <v>6074841</v>
      </c>
      <c r="H8" s="12">
        <v>45474</v>
      </c>
      <c r="I8" s="12">
        <v>45505</v>
      </c>
      <c r="J8" s="15">
        <v>31</v>
      </c>
      <c r="K8" s="17">
        <v>0.05</v>
      </c>
      <c r="L8" s="16"/>
      <c r="M8" s="23">
        <v>25311</v>
      </c>
      <c r="N8" s="23">
        <v>1001978</v>
      </c>
      <c r="O8" s="24">
        <f t="shared" si="0"/>
        <v>1027289</v>
      </c>
    </row>
    <row r="9" spans="1:16" ht="19.5" customHeight="1" x14ac:dyDescent="0.3">
      <c r="A9" s="6" t="s">
        <v>14</v>
      </c>
      <c r="B9" s="8">
        <v>1</v>
      </c>
      <c r="C9" s="5"/>
      <c r="F9" s="5">
        <v>8</v>
      </c>
      <c r="G9" s="11">
        <v>5072863</v>
      </c>
      <c r="H9" s="12">
        <v>45505</v>
      </c>
      <c r="I9" s="12">
        <v>45536</v>
      </c>
      <c r="J9" s="15">
        <v>31</v>
      </c>
      <c r="K9" s="17">
        <v>0.05</v>
      </c>
      <c r="L9" s="16"/>
      <c r="M9" s="23">
        <v>21136</v>
      </c>
      <c r="N9" s="23">
        <v>1006153</v>
      </c>
      <c r="O9" s="24">
        <f t="shared" si="0"/>
        <v>1027289</v>
      </c>
    </row>
    <row r="10" spans="1:16" x14ac:dyDescent="0.3">
      <c r="A10" s="6" t="s">
        <v>8</v>
      </c>
      <c r="B10" s="11">
        <v>1000000</v>
      </c>
      <c r="C10" s="5" t="s">
        <v>9</v>
      </c>
      <c r="F10" s="5">
        <v>9</v>
      </c>
      <c r="G10" s="11">
        <v>4066710</v>
      </c>
      <c r="H10" s="12">
        <v>45536</v>
      </c>
      <c r="I10" s="12">
        <v>45566</v>
      </c>
      <c r="J10" s="15">
        <v>30</v>
      </c>
      <c r="K10" s="17">
        <v>0.05</v>
      </c>
      <c r="L10" s="16"/>
      <c r="M10" s="23">
        <v>16944</v>
      </c>
      <c r="N10" s="23">
        <v>1010345</v>
      </c>
      <c r="O10" s="24">
        <f t="shared" si="0"/>
        <v>1027289</v>
      </c>
    </row>
    <row r="11" spans="1:16" x14ac:dyDescent="0.3">
      <c r="A11" s="6" t="s">
        <v>0</v>
      </c>
      <c r="B11" s="11">
        <v>1027289</v>
      </c>
      <c r="C11" s="5" t="s">
        <v>15</v>
      </c>
      <c r="F11" s="5">
        <v>10</v>
      </c>
      <c r="G11" s="11">
        <v>3056365</v>
      </c>
      <c r="H11" s="12">
        <v>45566</v>
      </c>
      <c r="I11" s="12">
        <v>45597</v>
      </c>
      <c r="J11" s="15">
        <v>31</v>
      </c>
      <c r="K11" s="17">
        <v>0.05</v>
      </c>
      <c r="L11" s="16"/>
      <c r="M11" s="23">
        <v>12734</v>
      </c>
      <c r="N11" s="23">
        <v>1014555</v>
      </c>
      <c r="O11" s="24">
        <f t="shared" si="0"/>
        <v>1027289</v>
      </c>
    </row>
    <row r="12" spans="1:16" x14ac:dyDescent="0.3">
      <c r="F12" s="5">
        <v>11</v>
      </c>
      <c r="G12" s="11">
        <v>2041810</v>
      </c>
      <c r="H12" s="12">
        <v>45597</v>
      </c>
      <c r="I12" s="12">
        <v>45627</v>
      </c>
      <c r="J12" s="15">
        <v>30</v>
      </c>
      <c r="K12" s="17">
        <v>0.05</v>
      </c>
      <c r="L12" s="16"/>
      <c r="M12" s="23">
        <v>8507</v>
      </c>
      <c r="N12" s="23">
        <v>1018782</v>
      </c>
      <c r="O12" s="24">
        <f t="shared" si="0"/>
        <v>1027289</v>
      </c>
    </row>
    <row r="13" spans="1:16" x14ac:dyDescent="0.3">
      <c r="B13" t="s">
        <v>707</v>
      </c>
      <c r="C13">
        <f>(5/100)/12</f>
        <v>4.1666666666666666E-3</v>
      </c>
      <c r="F13" s="5">
        <v>12</v>
      </c>
      <c r="G13" s="11">
        <v>1023028</v>
      </c>
      <c r="H13" s="12">
        <v>45627</v>
      </c>
      <c r="I13" s="12">
        <v>45658</v>
      </c>
      <c r="J13" s="15">
        <v>31</v>
      </c>
      <c r="K13" s="17">
        <v>0.05</v>
      </c>
      <c r="L13" s="16"/>
      <c r="M13" s="23">
        <v>4262</v>
      </c>
      <c r="N13" s="23">
        <v>1023028</v>
      </c>
      <c r="O13" s="24">
        <f>SUM(M13,N13)</f>
        <v>1027290</v>
      </c>
    </row>
    <row r="14" spans="1:16" x14ac:dyDescent="0.3">
      <c r="B14" t="s">
        <v>708</v>
      </c>
      <c r="C14">
        <f>(1+C13)^12</f>
        <v>1.0511618978817334</v>
      </c>
      <c r="F14" s="5">
        <v>13</v>
      </c>
      <c r="G14" s="11">
        <v>2460244</v>
      </c>
      <c r="H14" s="12">
        <v>45658</v>
      </c>
      <c r="I14" s="12">
        <v>45689</v>
      </c>
      <c r="J14" s="15">
        <v>31</v>
      </c>
      <c r="K14" s="17">
        <v>0.05</v>
      </c>
      <c r="L14" s="5"/>
      <c r="M14" s="23">
        <v>10251</v>
      </c>
      <c r="N14" s="23">
        <v>816674</v>
      </c>
      <c r="O14" s="24">
        <f t="shared" si="0"/>
        <v>826925</v>
      </c>
    </row>
    <row r="15" spans="1:16" x14ac:dyDescent="0.3">
      <c r="B15" t="s">
        <v>709</v>
      </c>
      <c r="C15">
        <f>B2*C13*C14</f>
        <v>52558.094894086673</v>
      </c>
      <c r="F15" s="5">
        <v>14</v>
      </c>
      <c r="G15" s="11">
        <v>1643570</v>
      </c>
      <c r="H15" s="12">
        <v>45689</v>
      </c>
      <c r="I15" s="12">
        <v>45717</v>
      </c>
      <c r="J15" s="15">
        <v>28</v>
      </c>
      <c r="K15" s="17">
        <v>0.05</v>
      </c>
      <c r="L15" s="16"/>
      <c r="M15" s="23">
        <v>6848</v>
      </c>
      <c r="N15" s="23">
        <v>820077</v>
      </c>
      <c r="O15" s="24">
        <f t="shared" si="0"/>
        <v>826925</v>
      </c>
    </row>
    <row r="16" spans="1:16" x14ac:dyDescent="0.3">
      <c r="B16" s="1" t="s">
        <v>710</v>
      </c>
      <c r="C16">
        <f>C14-1</f>
        <v>5.116189788173342E-2</v>
      </c>
      <c r="F16" s="5">
        <v>15</v>
      </c>
      <c r="G16" s="11">
        <v>823493</v>
      </c>
      <c r="H16" s="12">
        <v>45717</v>
      </c>
      <c r="I16" s="12">
        <v>45748</v>
      </c>
      <c r="J16" s="15">
        <v>31</v>
      </c>
      <c r="K16" s="17">
        <v>0.05</v>
      </c>
      <c r="L16" s="16"/>
      <c r="M16" s="23">
        <v>3431</v>
      </c>
      <c r="N16" s="23">
        <v>823493</v>
      </c>
      <c r="O16" s="24">
        <f t="shared" si="0"/>
        <v>826924</v>
      </c>
    </row>
    <row r="17" spans="2:19" x14ac:dyDescent="0.3">
      <c r="B17" t="s">
        <v>711</v>
      </c>
      <c r="C17" s="2">
        <f>C15/C16</f>
        <v>1027289.781461601</v>
      </c>
      <c r="F17" s="5"/>
      <c r="G17" s="11"/>
      <c r="H17" s="12"/>
      <c r="I17" s="12"/>
      <c r="J17" s="15"/>
      <c r="K17" s="17"/>
      <c r="L17" s="16"/>
      <c r="M17" s="23"/>
      <c r="N17" s="23"/>
      <c r="O17" s="24">
        <f t="shared" si="0"/>
        <v>0</v>
      </c>
    </row>
    <row r="18" spans="2:19" x14ac:dyDescent="0.3">
      <c r="F18" s="5"/>
      <c r="G18" s="11"/>
      <c r="H18" s="12"/>
      <c r="I18" s="12"/>
      <c r="J18" s="15"/>
      <c r="K18" s="17"/>
      <c r="L18" s="16"/>
      <c r="M18" s="23"/>
      <c r="N18" s="23"/>
      <c r="O18" s="24">
        <f t="shared" si="0"/>
        <v>0</v>
      </c>
    </row>
    <row r="19" spans="2:19" x14ac:dyDescent="0.3">
      <c r="F19" s="5"/>
      <c r="G19" s="11"/>
      <c r="H19" s="12"/>
      <c r="I19" s="12"/>
      <c r="J19" s="15"/>
      <c r="K19" s="17"/>
      <c r="L19" s="16"/>
      <c r="M19" s="23"/>
      <c r="N19" s="23"/>
      <c r="O19" s="24">
        <f t="shared" si="0"/>
        <v>0</v>
      </c>
    </row>
    <row r="20" spans="2:19" x14ac:dyDescent="0.3">
      <c r="F20" s="5"/>
      <c r="G20" s="11"/>
      <c r="H20" s="12"/>
      <c r="I20" s="12"/>
      <c r="J20" s="15"/>
      <c r="K20" s="17"/>
      <c r="L20" s="16"/>
      <c r="M20" s="23"/>
      <c r="N20" s="23"/>
      <c r="O20" s="24">
        <f t="shared" si="0"/>
        <v>0</v>
      </c>
      <c r="Q20" s="4"/>
      <c r="R20" s="2"/>
      <c r="S20" s="4"/>
    </row>
    <row r="21" spans="2:19" x14ac:dyDescent="0.3">
      <c r="F21" s="5"/>
      <c r="G21" s="11"/>
      <c r="H21" s="12"/>
      <c r="I21" s="12"/>
      <c r="J21" s="15"/>
      <c r="K21" s="17"/>
      <c r="L21" s="16"/>
      <c r="M21" s="23"/>
      <c r="N21" s="23"/>
      <c r="O21" s="24">
        <f t="shared" si="0"/>
        <v>0</v>
      </c>
      <c r="Q21" s="4"/>
      <c r="R21" s="2"/>
      <c r="S21" s="4"/>
    </row>
    <row r="22" spans="2:19" x14ac:dyDescent="0.3">
      <c r="J22" s="14">
        <f>SUM(J2:J21)</f>
        <v>456</v>
      </c>
      <c r="M22" s="24">
        <f>SUM(M2:M21)</f>
        <v>347999</v>
      </c>
      <c r="N22" s="24">
        <f>SUM(N2:N21)</f>
        <v>14460244</v>
      </c>
      <c r="O22" s="24"/>
      <c r="Q22" s="4"/>
      <c r="R22" s="2"/>
      <c r="S22" s="4"/>
    </row>
    <row r="23" spans="2:19" x14ac:dyDescent="0.3">
      <c r="Q23" s="4"/>
      <c r="R23" s="2"/>
      <c r="S23" s="4"/>
    </row>
    <row r="24" spans="2:19" x14ac:dyDescent="0.3">
      <c r="Q24" s="4"/>
      <c r="R24" s="2"/>
      <c r="S24" s="4"/>
    </row>
    <row r="25" spans="2:19" x14ac:dyDescent="0.3">
      <c r="Q25" s="4"/>
      <c r="R25" s="2"/>
      <c r="S25" s="4"/>
    </row>
    <row r="26" spans="2:19" x14ac:dyDescent="0.3">
      <c r="Q26" s="4"/>
      <c r="R26" s="2"/>
      <c r="S26" s="4"/>
    </row>
    <row r="27" spans="2:19" x14ac:dyDescent="0.3">
      <c r="Q27" s="4"/>
      <c r="R27" s="2"/>
      <c r="S27" s="4"/>
    </row>
    <row r="28" spans="2:19" x14ac:dyDescent="0.3">
      <c r="Q28" s="4"/>
      <c r="R28" s="2"/>
      <c r="S28" s="4"/>
    </row>
    <row r="29" spans="2:19" x14ac:dyDescent="0.3">
      <c r="Q29" s="4"/>
      <c r="R29" s="2"/>
      <c r="S29" s="4"/>
    </row>
    <row r="30" spans="2:19" x14ac:dyDescent="0.3">
      <c r="Q30" s="4"/>
      <c r="R30" s="2"/>
      <c r="S30" s="4"/>
    </row>
    <row r="31" spans="2:19" x14ac:dyDescent="0.3">
      <c r="Q31" s="4"/>
      <c r="R31" s="2"/>
      <c r="S31" s="4"/>
    </row>
    <row r="32" spans="2:19" x14ac:dyDescent="0.3">
      <c r="Q32" s="4"/>
      <c r="R32" s="2"/>
      <c r="S32" s="4"/>
    </row>
    <row r="33" spans="17:19" x14ac:dyDescent="0.3">
      <c r="Q33" s="4"/>
      <c r="R33" s="2"/>
      <c r="S33" s="4"/>
    </row>
    <row r="34" spans="17:19" x14ac:dyDescent="0.3">
      <c r="Q34" s="4"/>
      <c r="R34" s="2"/>
      <c r="S34" s="4"/>
    </row>
    <row r="35" spans="17:19" x14ac:dyDescent="0.3">
      <c r="Q35" s="4"/>
      <c r="R35" s="2"/>
      <c r="S35" s="4"/>
    </row>
    <row r="36" spans="17:19" x14ac:dyDescent="0.3">
      <c r="Q36" s="4"/>
      <c r="R36" s="2"/>
      <c r="S36" s="4"/>
    </row>
    <row r="37" spans="17:19" x14ac:dyDescent="0.3">
      <c r="Q37" s="4"/>
      <c r="R37" s="2"/>
      <c r="S37" s="4"/>
    </row>
    <row r="38" spans="17:19" x14ac:dyDescent="0.3">
      <c r="Q38" s="4"/>
      <c r="R38" s="2"/>
      <c r="S38" s="4"/>
    </row>
    <row r="39" spans="17:19" x14ac:dyDescent="0.3">
      <c r="Q39" s="4"/>
      <c r="R39" s="2"/>
      <c r="S39" s="4"/>
    </row>
    <row r="40" spans="17:19" x14ac:dyDescent="0.3">
      <c r="Q40" s="4"/>
      <c r="R40" s="2"/>
      <c r="S40" s="4"/>
    </row>
    <row r="41" spans="17:19" x14ac:dyDescent="0.3">
      <c r="Q41" s="4"/>
      <c r="R41" s="2"/>
      <c r="S41" s="4"/>
    </row>
    <row r="42" spans="17:19" x14ac:dyDescent="0.3">
      <c r="Q42" s="4"/>
      <c r="R42" s="2"/>
      <c r="S42" s="4"/>
    </row>
    <row r="43" spans="17:19" x14ac:dyDescent="0.3">
      <c r="Q43" s="4"/>
      <c r="R43" s="2"/>
      <c r="S43" s="4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Drop Down 6">
              <controlPr defaultSize="0" autoLine="0" autoPict="0">
                <anchor moveWithCells="1">
                  <from>
                    <xdr:col>1</xdr:col>
                    <xdr:colOff>942975</xdr:colOff>
                    <xdr:row>5</xdr:row>
                    <xdr:rowOff>990600</xdr:rowOff>
                  </from>
                  <to>
                    <xdr:col>1</xdr:col>
                    <xdr:colOff>2219325</xdr:colOff>
                    <xdr:row>5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Drop Down 7">
              <controlPr defaultSize="0" autoLine="0" autoPict="0">
                <anchor moveWithCells="1">
                  <from>
                    <xdr:col>1</xdr:col>
                    <xdr:colOff>1181100</xdr:colOff>
                    <xdr:row>8</xdr:row>
                    <xdr:rowOff>9525</xdr:rowOff>
                  </from>
                  <to>
                    <xdr:col>1</xdr:col>
                    <xdr:colOff>2219325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상환_click">
                <anchor moveWithCells="1" sizeWithCells="1">
                  <from>
                    <xdr:col>3</xdr:col>
                    <xdr:colOff>142875</xdr:colOff>
                    <xdr:row>5</xdr:row>
                    <xdr:rowOff>676275</xdr:rowOff>
                  </from>
                  <to>
                    <xdr:col>4</xdr:col>
                    <xdr:colOff>666750</xdr:colOff>
                    <xdr:row>5</xdr:row>
                    <xdr:rowOff>1038225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2"/>
  <sheetViews>
    <sheetView workbookViewId="0">
      <selection activeCell="Q12" sqref="Q12"/>
    </sheetView>
  </sheetViews>
  <sheetFormatPr defaultRowHeight="16.5" x14ac:dyDescent="0.3"/>
  <sheetData>
    <row r="1" spans="1:3" x14ac:dyDescent="0.3">
      <c r="A1" t="s">
        <v>694</v>
      </c>
    </row>
    <row r="2" spans="1:3" x14ac:dyDescent="0.3">
      <c r="B2" s="6" t="s">
        <v>19</v>
      </c>
      <c r="C2" s="5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단추1_Click">
                <anchor moveWithCells="1" sizeWithCells="1">
                  <from>
                    <xdr:col>3</xdr:col>
                    <xdr:colOff>657225</xdr:colOff>
                    <xdr:row>1</xdr:row>
                    <xdr:rowOff>0</xdr:rowOff>
                  </from>
                  <to>
                    <xdr:col>4</xdr:col>
                    <xdr:colOff>638175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24"/>
  <sheetViews>
    <sheetView topLeftCell="A278" zoomScale="160" zoomScaleNormal="160" workbookViewId="0">
      <selection activeCell="A288" sqref="A288"/>
    </sheetView>
  </sheetViews>
  <sheetFormatPr defaultRowHeight="16.5" x14ac:dyDescent="0.3"/>
  <cols>
    <col min="2" max="2" width="11.375" bestFit="1" customWidth="1"/>
    <col min="3" max="3" width="15.875" bestFit="1" customWidth="1"/>
    <col min="4" max="4" width="11" bestFit="1" customWidth="1"/>
  </cols>
  <sheetData>
    <row r="1" spans="1:4" x14ac:dyDescent="0.3">
      <c r="A1" s="6" t="s">
        <v>62</v>
      </c>
      <c r="B1" s="6" t="s">
        <v>63</v>
      </c>
      <c r="C1" s="6" t="s">
        <v>64</v>
      </c>
      <c r="D1" s="6" t="s">
        <v>65</v>
      </c>
    </row>
    <row r="2" spans="1:4" x14ac:dyDescent="0.3">
      <c r="A2" s="5" t="s">
        <v>66</v>
      </c>
      <c r="B2" s="5" t="s">
        <v>67</v>
      </c>
      <c r="C2" s="5"/>
      <c r="D2" s="5"/>
    </row>
    <row r="3" spans="1:4" x14ac:dyDescent="0.3">
      <c r="A3" s="5" t="s">
        <v>66</v>
      </c>
      <c r="B3" s="5" t="s">
        <v>68</v>
      </c>
      <c r="C3" s="5"/>
      <c r="D3" s="5"/>
    </row>
    <row r="4" spans="1:4" x14ac:dyDescent="0.3">
      <c r="A4" s="5" t="s">
        <v>66</v>
      </c>
      <c r="B4" s="5" t="s">
        <v>69</v>
      </c>
      <c r="C4" s="5"/>
      <c r="D4" s="5"/>
    </row>
    <row r="5" spans="1:4" x14ac:dyDescent="0.3">
      <c r="A5" s="5" t="s">
        <v>70</v>
      </c>
      <c r="B5" s="5" t="s">
        <v>71</v>
      </c>
      <c r="C5" s="5"/>
      <c r="D5" s="5"/>
    </row>
    <row r="6" spans="1:4" x14ac:dyDescent="0.3">
      <c r="A6" s="5" t="s">
        <v>72</v>
      </c>
      <c r="B6" s="5" t="s">
        <v>73</v>
      </c>
      <c r="C6" s="5"/>
      <c r="D6" s="5"/>
    </row>
    <row r="7" spans="1:4" x14ac:dyDescent="0.3">
      <c r="A7" s="5" t="s">
        <v>74</v>
      </c>
      <c r="B7" s="5" t="s">
        <v>75</v>
      </c>
      <c r="C7" s="5"/>
      <c r="D7" s="5" t="s">
        <v>76</v>
      </c>
    </row>
    <row r="8" spans="1:4" x14ac:dyDescent="0.3">
      <c r="A8" s="5" t="s">
        <v>77</v>
      </c>
      <c r="B8" s="5" t="s">
        <v>74</v>
      </c>
      <c r="C8" s="5"/>
      <c r="D8" s="5"/>
    </row>
    <row r="9" spans="1:4" x14ac:dyDescent="0.3">
      <c r="A9" s="5" t="s">
        <v>78</v>
      </c>
      <c r="B9" s="5" t="s">
        <v>78</v>
      </c>
      <c r="C9" s="5"/>
      <c r="D9" s="5"/>
    </row>
    <row r="10" spans="1:4" x14ac:dyDescent="0.3">
      <c r="A10" s="5" t="s">
        <v>79</v>
      </c>
      <c r="B10" s="5" t="s">
        <v>80</v>
      </c>
      <c r="C10" s="5"/>
      <c r="D10" s="5"/>
    </row>
    <row r="11" spans="1:4" x14ac:dyDescent="0.3">
      <c r="A11" s="5" t="s">
        <v>81</v>
      </c>
      <c r="B11" s="5" t="s">
        <v>82</v>
      </c>
      <c r="C11" s="5"/>
      <c r="D11" s="5"/>
    </row>
    <row r="12" spans="1:4" x14ac:dyDescent="0.3">
      <c r="A12" s="5" t="s">
        <v>83</v>
      </c>
      <c r="B12" s="5" t="s">
        <v>84</v>
      </c>
      <c r="C12" s="5"/>
      <c r="D12" s="5"/>
    </row>
    <row r="13" spans="1:4" x14ac:dyDescent="0.3">
      <c r="A13" s="5" t="s">
        <v>85</v>
      </c>
      <c r="B13" s="5" t="s">
        <v>86</v>
      </c>
      <c r="C13" s="5"/>
      <c r="D13" s="5"/>
    </row>
    <row r="14" spans="1:4" x14ac:dyDescent="0.3">
      <c r="A14" s="5" t="s">
        <v>85</v>
      </c>
      <c r="B14" s="5" t="s">
        <v>87</v>
      </c>
      <c r="C14" s="5"/>
      <c r="D14" s="5" t="s">
        <v>88</v>
      </c>
    </row>
    <row r="15" spans="1:4" x14ac:dyDescent="0.3">
      <c r="A15" s="5" t="s">
        <v>89</v>
      </c>
      <c r="B15" s="5" t="s">
        <v>90</v>
      </c>
      <c r="C15" s="5"/>
      <c r="D15" s="5"/>
    </row>
    <row r="16" spans="1:4" x14ac:dyDescent="0.3">
      <c r="A16" s="5" t="s">
        <v>91</v>
      </c>
      <c r="B16" s="5" t="s">
        <v>92</v>
      </c>
      <c r="C16" s="5"/>
      <c r="D16" s="5"/>
    </row>
    <row r="17" spans="1:4" x14ac:dyDescent="0.3">
      <c r="A17" s="5" t="s">
        <v>93</v>
      </c>
      <c r="B17" s="5" t="s">
        <v>94</v>
      </c>
      <c r="C17" s="5"/>
      <c r="D17" s="5"/>
    </row>
    <row r="18" spans="1:4" x14ac:dyDescent="0.3">
      <c r="A18" s="5" t="s">
        <v>95</v>
      </c>
      <c r="B18" s="5" t="s">
        <v>96</v>
      </c>
      <c r="C18" s="5"/>
      <c r="D18" s="5"/>
    </row>
    <row r="19" spans="1:4" x14ac:dyDescent="0.3">
      <c r="A19" s="5" t="s">
        <v>97</v>
      </c>
      <c r="B19" s="5" t="s">
        <v>98</v>
      </c>
      <c r="C19" s="5"/>
      <c r="D19" s="5"/>
    </row>
    <row r="20" spans="1:4" x14ac:dyDescent="0.3">
      <c r="A20" s="5" t="s">
        <v>99</v>
      </c>
      <c r="B20" s="5" t="s">
        <v>100</v>
      </c>
      <c r="C20" s="5"/>
      <c r="D20" s="5"/>
    </row>
    <row r="21" spans="1:4" x14ac:dyDescent="0.3">
      <c r="A21" s="5" t="s">
        <v>101</v>
      </c>
      <c r="B21" s="5" t="s">
        <v>102</v>
      </c>
      <c r="C21" s="5"/>
      <c r="D21" s="5"/>
    </row>
    <row r="22" spans="1:4" x14ac:dyDescent="0.3">
      <c r="A22" s="5" t="s">
        <v>103</v>
      </c>
      <c r="B22" s="5" t="s">
        <v>104</v>
      </c>
      <c r="C22" s="5"/>
      <c r="D22" s="5"/>
    </row>
    <row r="23" spans="1:4" x14ac:dyDescent="0.3">
      <c r="A23" s="5" t="s">
        <v>105</v>
      </c>
      <c r="B23" s="5" t="s">
        <v>106</v>
      </c>
      <c r="C23" s="5"/>
      <c r="D23" s="5"/>
    </row>
    <row r="24" spans="1:4" x14ac:dyDescent="0.3">
      <c r="A24" s="5" t="s">
        <v>105</v>
      </c>
      <c r="B24" s="5" t="s">
        <v>107</v>
      </c>
      <c r="C24" s="5"/>
      <c r="D24" s="5" t="s">
        <v>108</v>
      </c>
    </row>
    <row r="25" spans="1:4" x14ac:dyDescent="0.3">
      <c r="A25" s="5" t="s">
        <v>109</v>
      </c>
      <c r="B25" s="5" t="s">
        <v>110</v>
      </c>
      <c r="C25" s="5"/>
      <c r="D25" s="5"/>
    </row>
    <row r="26" spans="1:4" x14ac:dyDescent="0.3">
      <c r="A26" s="5" t="s">
        <v>111</v>
      </c>
      <c r="B26" s="5" t="s">
        <v>112</v>
      </c>
      <c r="C26" s="5"/>
      <c r="D26" s="5"/>
    </row>
    <row r="27" spans="1:4" x14ac:dyDescent="0.3">
      <c r="A27" s="5" t="s">
        <v>113</v>
      </c>
      <c r="B27" s="5" t="s">
        <v>114</v>
      </c>
      <c r="C27" s="5"/>
      <c r="D27" s="5"/>
    </row>
    <row r="28" spans="1:4" x14ac:dyDescent="0.3">
      <c r="A28" s="5" t="s">
        <v>115</v>
      </c>
      <c r="B28" s="5" t="s">
        <v>116</v>
      </c>
      <c r="C28" s="5"/>
      <c r="D28" s="5"/>
    </row>
    <row r="29" spans="1:4" x14ac:dyDescent="0.3">
      <c r="A29" s="5" t="s">
        <v>115</v>
      </c>
      <c r="B29" s="5" t="s">
        <v>117</v>
      </c>
      <c r="C29" s="5"/>
      <c r="D29" s="5"/>
    </row>
    <row r="30" spans="1:4" x14ac:dyDescent="0.3">
      <c r="A30" s="5" t="s">
        <v>118</v>
      </c>
      <c r="B30" s="5" t="s">
        <v>119</v>
      </c>
      <c r="C30" s="5"/>
      <c r="D30" s="5"/>
    </row>
    <row r="31" spans="1:4" x14ac:dyDescent="0.3">
      <c r="A31" s="5" t="s">
        <v>120</v>
      </c>
      <c r="B31" s="5" t="s">
        <v>121</v>
      </c>
      <c r="C31" s="5"/>
      <c r="D31" s="5"/>
    </row>
    <row r="32" spans="1:4" x14ac:dyDescent="0.3">
      <c r="A32" s="5" t="s">
        <v>122</v>
      </c>
      <c r="B32" s="5" t="s">
        <v>123</v>
      </c>
      <c r="C32" s="5"/>
      <c r="D32" s="5"/>
    </row>
    <row r="33" spans="1:4" x14ac:dyDescent="0.3">
      <c r="A33" s="5" t="s">
        <v>124</v>
      </c>
      <c r="B33" s="5" t="s">
        <v>125</v>
      </c>
      <c r="C33" s="5"/>
      <c r="D33" s="5"/>
    </row>
    <row r="34" spans="1:4" x14ac:dyDescent="0.3">
      <c r="A34" s="5" t="s">
        <v>126</v>
      </c>
      <c r="B34" s="5" t="s">
        <v>127</v>
      </c>
      <c r="C34" s="5"/>
      <c r="D34" s="5"/>
    </row>
    <row r="35" spans="1:4" x14ac:dyDescent="0.3">
      <c r="A35" s="5" t="s">
        <v>128</v>
      </c>
      <c r="B35" s="5" t="s">
        <v>129</v>
      </c>
      <c r="C35" s="5"/>
      <c r="D35" s="5"/>
    </row>
    <row r="36" spans="1:4" x14ac:dyDescent="0.3">
      <c r="A36" s="5" t="s">
        <v>130</v>
      </c>
      <c r="B36" s="5" t="s">
        <v>131</v>
      </c>
      <c r="C36" s="5"/>
      <c r="D36" s="5"/>
    </row>
    <row r="37" spans="1:4" x14ac:dyDescent="0.3">
      <c r="A37" s="5" t="s">
        <v>132</v>
      </c>
      <c r="B37" s="5" t="s">
        <v>133</v>
      </c>
      <c r="C37" s="5"/>
      <c r="D37" s="5"/>
    </row>
    <row r="38" spans="1:4" x14ac:dyDescent="0.3">
      <c r="A38" s="5" t="s">
        <v>134</v>
      </c>
      <c r="B38" s="5" t="s">
        <v>135</v>
      </c>
      <c r="C38" s="5"/>
      <c r="D38" s="5"/>
    </row>
    <row r="39" spans="1:4" x14ac:dyDescent="0.3">
      <c r="A39" s="5" t="s">
        <v>136</v>
      </c>
      <c r="B39" s="5" t="s">
        <v>137</v>
      </c>
      <c r="C39" s="5"/>
      <c r="D39" s="5"/>
    </row>
    <row r="40" spans="1:4" x14ac:dyDescent="0.3">
      <c r="A40" s="5" t="s">
        <v>138</v>
      </c>
      <c r="B40" s="5" t="s">
        <v>139</v>
      </c>
      <c r="C40" s="5"/>
      <c r="D40" s="5"/>
    </row>
    <row r="41" spans="1:4" x14ac:dyDescent="0.3">
      <c r="A41" s="5" t="s">
        <v>140</v>
      </c>
      <c r="B41" s="5" t="s">
        <v>141</v>
      </c>
      <c r="C41" s="5"/>
      <c r="D41" s="5"/>
    </row>
    <row r="42" spans="1:4" x14ac:dyDescent="0.3">
      <c r="A42" s="5" t="s">
        <v>142</v>
      </c>
      <c r="B42" s="5" t="s">
        <v>143</v>
      </c>
      <c r="C42" s="5"/>
      <c r="D42" s="5"/>
    </row>
    <row r="43" spans="1:4" x14ac:dyDescent="0.3">
      <c r="A43" s="5" t="s">
        <v>144</v>
      </c>
      <c r="B43" s="5" t="s">
        <v>145</v>
      </c>
      <c r="C43" s="5"/>
      <c r="D43" s="5"/>
    </row>
    <row r="44" spans="1:4" x14ac:dyDescent="0.3">
      <c r="A44" s="5" t="s">
        <v>146</v>
      </c>
      <c r="B44" s="5" t="s">
        <v>147</v>
      </c>
      <c r="C44" s="5"/>
      <c r="D44" s="5"/>
    </row>
    <row r="45" spans="1:4" x14ac:dyDescent="0.3">
      <c r="A45" s="5" t="s">
        <v>148</v>
      </c>
      <c r="B45" s="5" t="s">
        <v>149</v>
      </c>
      <c r="C45" s="5" t="s">
        <v>150</v>
      </c>
      <c r="D45" s="5"/>
    </row>
    <row r="46" spans="1:4" x14ac:dyDescent="0.3">
      <c r="A46" s="5" t="s">
        <v>151</v>
      </c>
      <c r="B46" s="5" t="s">
        <v>152</v>
      </c>
      <c r="C46" s="5"/>
      <c r="D46" s="5"/>
    </row>
    <row r="47" spans="1:4" x14ac:dyDescent="0.3">
      <c r="A47" s="5" t="s">
        <v>153</v>
      </c>
      <c r="B47" s="5" t="s">
        <v>154</v>
      </c>
      <c r="C47" s="5"/>
      <c r="D47" s="5"/>
    </row>
    <row r="48" spans="1:4" x14ac:dyDescent="0.3">
      <c r="A48" s="5" t="s">
        <v>155</v>
      </c>
      <c r="B48" s="5" t="s">
        <v>156</v>
      </c>
      <c r="C48" s="5"/>
      <c r="D48" s="5"/>
    </row>
    <row r="49" spans="1:4" x14ac:dyDescent="0.3">
      <c r="A49" s="5" t="s">
        <v>157</v>
      </c>
      <c r="B49" s="5" t="s">
        <v>158</v>
      </c>
      <c r="C49" s="5"/>
      <c r="D49" s="5"/>
    </row>
    <row r="50" spans="1:4" x14ac:dyDescent="0.3">
      <c r="A50" s="5" t="s">
        <v>159</v>
      </c>
      <c r="B50" s="5" t="s">
        <v>160</v>
      </c>
      <c r="C50" s="5"/>
      <c r="D50" s="5"/>
    </row>
    <row r="51" spans="1:4" x14ac:dyDescent="0.3">
      <c r="A51" s="5" t="s">
        <v>161</v>
      </c>
      <c r="B51" s="5" t="s">
        <v>162</v>
      </c>
      <c r="C51" s="5"/>
      <c r="D51" s="5"/>
    </row>
    <row r="52" spans="1:4" x14ac:dyDescent="0.3">
      <c r="A52" s="5" t="s">
        <v>163</v>
      </c>
      <c r="B52" s="5" t="s">
        <v>164</v>
      </c>
      <c r="C52" s="5"/>
      <c r="D52" s="5"/>
    </row>
    <row r="53" spans="1:4" x14ac:dyDescent="0.3">
      <c r="A53" s="5" t="s">
        <v>165</v>
      </c>
      <c r="B53" s="5" t="s">
        <v>166</v>
      </c>
      <c r="C53" s="5"/>
      <c r="D53" s="5"/>
    </row>
    <row r="54" spans="1:4" x14ac:dyDescent="0.3">
      <c r="A54" s="5" t="s">
        <v>165</v>
      </c>
      <c r="B54" s="5" t="s">
        <v>167</v>
      </c>
      <c r="C54" s="5"/>
      <c r="D54" s="5"/>
    </row>
    <row r="55" spans="1:4" x14ac:dyDescent="0.3">
      <c r="A55" s="5" t="s">
        <v>168</v>
      </c>
      <c r="B55" s="5" t="s">
        <v>169</v>
      </c>
      <c r="C55" s="5"/>
      <c r="D55" s="5"/>
    </row>
    <row r="56" spans="1:4" x14ac:dyDescent="0.3">
      <c r="A56" s="5" t="s">
        <v>170</v>
      </c>
      <c r="B56" s="5" t="s">
        <v>171</v>
      </c>
      <c r="C56" s="5"/>
      <c r="D56" s="5"/>
    </row>
    <row r="57" spans="1:4" x14ac:dyDescent="0.3">
      <c r="A57" s="5" t="s">
        <v>170</v>
      </c>
      <c r="B57" s="5" t="s">
        <v>172</v>
      </c>
      <c r="C57" s="5"/>
      <c r="D57" s="5"/>
    </row>
    <row r="58" spans="1:4" x14ac:dyDescent="0.3">
      <c r="A58" s="5" t="s">
        <v>173</v>
      </c>
      <c r="B58" s="5" t="s">
        <v>174</v>
      </c>
      <c r="C58" s="5"/>
      <c r="D58" s="5"/>
    </row>
    <row r="59" spans="1:4" x14ac:dyDescent="0.3">
      <c r="A59" s="5" t="s">
        <v>175</v>
      </c>
      <c r="B59" s="5" t="s">
        <v>176</v>
      </c>
      <c r="C59" s="5"/>
      <c r="D59" s="5"/>
    </row>
    <row r="60" spans="1:4" x14ac:dyDescent="0.3">
      <c r="A60" s="5" t="s">
        <v>175</v>
      </c>
      <c r="B60" s="5" t="s">
        <v>177</v>
      </c>
      <c r="C60" s="5"/>
      <c r="D60" s="5"/>
    </row>
    <row r="61" spans="1:4" x14ac:dyDescent="0.3">
      <c r="A61" s="5" t="s">
        <v>178</v>
      </c>
      <c r="B61" s="5" t="s">
        <v>179</v>
      </c>
      <c r="C61" s="5"/>
      <c r="D61" s="5"/>
    </row>
    <row r="62" spans="1:4" x14ac:dyDescent="0.3">
      <c r="A62" s="5" t="s">
        <v>178</v>
      </c>
      <c r="B62" s="5" t="s">
        <v>180</v>
      </c>
      <c r="C62" s="5"/>
      <c r="D62" s="5"/>
    </row>
    <row r="63" spans="1:4" x14ac:dyDescent="0.3">
      <c r="A63" s="5" t="s">
        <v>178</v>
      </c>
      <c r="B63" s="5" t="s">
        <v>181</v>
      </c>
      <c r="C63" s="5"/>
      <c r="D63" s="5"/>
    </row>
    <row r="64" spans="1:4" x14ac:dyDescent="0.3">
      <c r="A64" s="5" t="s">
        <v>178</v>
      </c>
      <c r="B64" s="5" t="s">
        <v>182</v>
      </c>
      <c r="C64" s="5"/>
      <c r="D64" s="5"/>
    </row>
    <row r="65" spans="1:4" x14ac:dyDescent="0.3">
      <c r="A65" s="5" t="s">
        <v>183</v>
      </c>
      <c r="B65" s="5" t="s">
        <v>184</v>
      </c>
      <c r="C65" s="5"/>
      <c r="D65" s="5"/>
    </row>
    <row r="66" spans="1:4" x14ac:dyDescent="0.3">
      <c r="A66" s="5" t="s">
        <v>185</v>
      </c>
      <c r="B66" s="5" t="s">
        <v>186</v>
      </c>
      <c r="C66" s="5"/>
      <c r="D66" s="5"/>
    </row>
    <row r="67" spans="1:4" x14ac:dyDescent="0.3">
      <c r="A67" s="5" t="s">
        <v>187</v>
      </c>
      <c r="B67" s="5" t="s">
        <v>188</v>
      </c>
      <c r="C67" s="5"/>
      <c r="D67" s="5"/>
    </row>
    <row r="68" spans="1:4" x14ac:dyDescent="0.3">
      <c r="A68" s="5" t="s">
        <v>189</v>
      </c>
      <c r="B68" s="5" t="s">
        <v>190</v>
      </c>
      <c r="C68" s="5"/>
      <c r="D68" s="5"/>
    </row>
    <row r="69" spans="1:4" x14ac:dyDescent="0.3">
      <c r="A69" s="5" t="s">
        <v>29</v>
      </c>
      <c r="B69" s="5" t="s">
        <v>191</v>
      </c>
      <c r="C69" s="5"/>
      <c r="D69" s="5"/>
    </row>
    <row r="70" spans="1:4" x14ac:dyDescent="0.3">
      <c r="A70" s="5" t="s">
        <v>192</v>
      </c>
      <c r="B70" s="5" t="s">
        <v>193</v>
      </c>
      <c r="C70" s="5"/>
      <c r="D70" s="5"/>
    </row>
    <row r="71" spans="1:4" x14ac:dyDescent="0.3">
      <c r="A71" s="5" t="s">
        <v>51</v>
      </c>
      <c r="B71" s="5" t="s">
        <v>194</v>
      </c>
      <c r="C71" s="5"/>
      <c r="D71" s="5"/>
    </row>
    <row r="72" spans="1:4" x14ac:dyDescent="0.3">
      <c r="A72" s="5" t="s">
        <v>195</v>
      </c>
      <c r="B72" s="5" t="s">
        <v>196</v>
      </c>
      <c r="C72" s="5"/>
      <c r="D72" s="5"/>
    </row>
    <row r="73" spans="1:4" x14ac:dyDescent="0.3">
      <c r="A73" s="5" t="s">
        <v>197</v>
      </c>
      <c r="B73" s="5" t="s">
        <v>198</v>
      </c>
      <c r="C73" s="5" t="s">
        <v>199</v>
      </c>
      <c r="D73" s="5"/>
    </row>
    <row r="74" spans="1:4" x14ac:dyDescent="0.3">
      <c r="A74" s="5" t="s">
        <v>200</v>
      </c>
      <c r="B74" s="5" t="s">
        <v>201</v>
      </c>
      <c r="C74" s="5"/>
      <c r="D74" s="5"/>
    </row>
    <row r="75" spans="1:4" x14ac:dyDescent="0.3">
      <c r="A75" s="5" t="s">
        <v>202</v>
      </c>
      <c r="B75" s="5" t="s">
        <v>203</v>
      </c>
      <c r="C75" s="5"/>
      <c r="D75" s="5"/>
    </row>
    <row r="76" spans="1:4" x14ac:dyDescent="0.3">
      <c r="A76" s="5" t="s">
        <v>204</v>
      </c>
      <c r="B76" s="5" t="s">
        <v>205</v>
      </c>
      <c r="C76" s="5"/>
      <c r="D76" s="5"/>
    </row>
    <row r="77" spans="1:4" x14ac:dyDescent="0.3">
      <c r="A77" s="5" t="s">
        <v>206</v>
      </c>
      <c r="B77" s="5" t="s">
        <v>207</v>
      </c>
      <c r="C77" s="5"/>
      <c r="D77" s="5"/>
    </row>
    <row r="78" spans="1:4" x14ac:dyDescent="0.3">
      <c r="A78" s="5" t="s">
        <v>208</v>
      </c>
      <c r="B78" s="5" t="s">
        <v>209</v>
      </c>
      <c r="C78" s="5"/>
      <c r="D78" s="5"/>
    </row>
    <row r="79" spans="1:4" x14ac:dyDescent="0.3">
      <c r="A79" s="5" t="s">
        <v>210</v>
      </c>
      <c r="B79" s="5" t="s">
        <v>211</v>
      </c>
      <c r="C79" s="5"/>
      <c r="D79" s="5"/>
    </row>
    <row r="80" spans="1:4" x14ac:dyDescent="0.3">
      <c r="A80" s="5" t="s">
        <v>212</v>
      </c>
      <c r="B80" s="5" t="s">
        <v>213</v>
      </c>
      <c r="C80" s="5"/>
      <c r="D80" s="5"/>
    </row>
    <row r="81" spans="1:4" x14ac:dyDescent="0.3">
      <c r="A81" s="5" t="s">
        <v>214</v>
      </c>
      <c r="B81" s="5" t="s">
        <v>215</v>
      </c>
      <c r="C81" s="5"/>
      <c r="D81" s="5"/>
    </row>
    <row r="82" spans="1:4" x14ac:dyDescent="0.3">
      <c r="A82" s="5" t="s">
        <v>216</v>
      </c>
      <c r="B82" s="5" t="s">
        <v>217</v>
      </c>
      <c r="C82" s="5"/>
      <c r="D82" s="5"/>
    </row>
    <row r="83" spans="1:4" x14ac:dyDescent="0.3">
      <c r="A83" s="5" t="s">
        <v>218</v>
      </c>
      <c r="B83" s="5" t="s">
        <v>219</v>
      </c>
      <c r="C83" s="5"/>
      <c r="D83" s="5"/>
    </row>
    <row r="84" spans="1:4" x14ac:dyDescent="0.3">
      <c r="A84" s="5" t="s">
        <v>220</v>
      </c>
      <c r="B84" s="5" t="s">
        <v>221</v>
      </c>
      <c r="C84" s="5"/>
      <c r="D84" s="5"/>
    </row>
    <row r="85" spans="1:4" x14ac:dyDescent="0.3">
      <c r="A85" s="5" t="s">
        <v>220</v>
      </c>
      <c r="B85" s="5" t="s">
        <v>222</v>
      </c>
      <c r="C85" s="5"/>
      <c r="D85" s="5"/>
    </row>
    <row r="86" spans="1:4" x14ac:dyDescent="0.3">
      <c r="A86" s="5" t="s">
        <v>223</v>
      </c>
      <c r="B86" s="5" t="s">
        <v>224</v>
      </c>
      <c r="C86" s="5"/>
      <c r="D86" s="5"/>
    </row>
    <row r="87" spans="1:4" x14ac:dyDescent="0.3">
      <c r="A87" s="5" t="s">
        <v>225</v>
      </c>
      <c r="B87" s="5" t="s">
        <v>226</v>
      </c>
      <c r="C87" s="5"/>
      <c r="D87" s="5"/>
    </row>
    <row r="88" spans="1:4" x14ac:dyDescent="0.3">
      <c r="A88" s="5" t="s">
        <v>227</v>
      </c>
      <c r="B88" s="5" t="s">
        <v>228</v>
      </c>
      <c r="C88" s="5"/>
      <c r="D88" s="5"/>
    </row>
    <row r="89" spans="1:4" x14ac:dyDescent="0.3">
      <c r="A89" s="5" t="s">
        <v>229</v>
      </c>
      <c r="B89" s="5" t="s">
        <v>230</v>
      </c>
      <c r="C89" s="5"/>
      <c r="D89" s="5"/>
    </row>
    <row r="90" spans="1:4" x14ac:dyDescent="0.3">
      <c r="A90" s="5" t="s">
        <v>231</v>
      </c>
      <c r="B90" s="5" t="s">
        <v>232</v>
      </c>
      <c r="C90" s="5"/>
      <c r="D90" s="5"/>
    </row>
    <row r="91" spans="1:4" x14ac:dyDescent="0.3">
      <c r="A91" s="5" t="s">
        <v>233</v>
      </c>
      <c r="B91" s="5" t="s">
        <v>234</v>
      </c>
      <c r="C91" s="5"/>
      <c r="D91" s="5"/>
    </row>
    <row r="92" spans="1:4" x14ac:dyDescent="0.3">
      <c r="A92" s="5" t="s">
        <v>235</v>
      </c>
      <c r="B92" s="5" t="s">
        <v>236</v>
      </c>
      <c r="C92" s="5"/>
      <c r="D92" s="5"/>
    </row>
    <row r="93" spans="1:4" x14ac:dyDescent="0.3">
      <c r="A93" s="10" t="s">
        <v>237</v>
      </c>
      <c r="B93" s="10" t="s">
        <v>238</v>
      </c>
      <c r="C93" s="5" t="s">
        <v>239</v>
      </c>
      <c r="D93" s="5"/>
    </row>
    <row r="94" spans="1:4" x14ac:dyDescent="0.3">
      <c r="A94" s="5" t="s">
        <v>240</v>
      </c>
      <c r="B94" s="5" t="s">
        <v>241</v>
      </c>
      <c r="C94" s="5"/>
      <c r="D94" s="5"/>
    </row>
    <row r="95" spans="1:4" x14ac:dyDescent="0.3">
      <c r="A95" s="5" t="s">
        <v>242</v>
      </c>
      <c r="B95" s="5" t="s">
        <v>243</v>
      </c>
      <c r="C95" s="5"/>
      <c r="D95" s="5"/>
    </row>
    <row r="96" spans="1:4" x14ac:dyDescent="0.3">
      <c r="A96" s="5" t="s">
        <v>244</v>
      </c>
      <c r="B96" s="5" t="s">
        <v>245</v>
      </c>
      <c r="C96" s="5"/>
      <c r="D96" s="5"/>
    </row>
    <row r="97" spans="1:4" x14ac:dyDescent="0.3">
      <c r="A97" s="5" t="s">
        <v>246</v>
      </c>
      <c r="B97" s="5" t="s">
        <v>247</v>
      </c>
      <c r="C97" s="5"/>
      <c r="D97" s="5"/>
    </row>
    <row r="98" spans="1:4" x14ac:dyDescent="0.3">
      <c r="A98" s="5" t="s">
        <v>248</v>
      </c>
      <c r="B98" s="5" t="s">
        <v>249</v>
      </c>
      <c r="C98" s="5" t="s">
        <v>250</v>
      </c>
      <c r="D98" s="5"/>
    </row>
    <row r="99" spans="1:4" x14ac:dyDescent="0.3">
      <c r="A99" s="5" t="s">
        <v>251</v>
      </c>
      <c r="B99" s="5" t="s">
        <v>252</v>
      </c>
      <c r="C99" s="5" t="s">
        <v>253</v>
      </c>
      <c r="D99" s="5"/>
    </row>
    <row r="100" spans="1:4" x14ac:dyDescent="0.3">
      <c r="A100" s="5" t="s">
        <v>254</v>
      </c>
      <c r="B100" s="5" t="s">
        <v>255</v>
      </c>
      <c r="C100" s="5"/>
      <c r="D100" s="5"/>
    </row>
    <row r="101" spans="1:4" x14ac:dyDescent="0.3">
      <c r="A101" s="5" t="s">
        <v>256</v>
      </c>
      <c r="B101" s="5" t="s">
        <v>257</v>
      </c>
      <c r="C101" s="5"/>
      <c r="D101" s="5"/>
    </row>
    <row r="102" spans="1:4" x14ac:dyDescent="0.3">
      <c r="A102" s="5" t="s">
        <v>258</v>
      </c>
      <c r="B102" s="5" t="s">
        <v>259</v>
      </c>
      <c r="C102" s="5"/>
      <c r="D102" s="5"/>
    </row>
    <row r="103" spans="1:4" x14ac:dyDescent="0.3">
      <c r="A103" s="5" t="s">
        <v>260</v>
      </c>
      <c r="B103" s="5" t="s">
        <v>261</v>
      </c>
      <c r="C103" s="5"/>
      <c r="D103" s="5"/>
    </row>
    <row r="104" spans="1:4" x14ac:dyDescent="0.3">
      <c r="A104" s="5" t="s">
        <v>262</v>
      </c>
      <c r="B104" s="5" t="s">
        <v>263</v>
      </c>
      <c r="C104" s="5"/>
      <c r="D104" s="5"/>
    </row>
    <row r="105" spans="1:4" x14ac:dyDescent="0.3">
      <c r="A105" s="5" t="s">
        <v>264</v>
      </c>
      <c r="B105" s="5" t="s">
        <v>265</v>
      </c>
      <c r="C105" s="5"/>
      <c r="D105" s="5"/>
    </row>
    <row r="106" spans="1:4" x14ac:dyDescent="0.3">
      <c r="A106" s="5" t="s">
        <v>266</v>
      </c>
      <c r="B106" s="5" t="s">
        <v>267</v>
      </c>
      <c r="C106" s="5"/>
      <c r="D106" s="5"/>
    </row>
    <row r="107" spans="1:4" x14ac:dyDescent="0.3">
      <c r="A107" s="5" t="s">
        <v>268</v>
      </c>
      <c r="B107" s="5" t="s">
        <v>269</v>
      </c>
      <c r="C107" s="5"/>
      <c r="D107" s="5"/>
    </row>
    <row r="108" spans="1:4" x14ac:dyDescent="0.3">
      <c r="A108" s="5" t="s">
        <v>270</v>
      </c>
      <c r="B108" s="5" t="s">
        <v>271</v>
      </c>
      <c r="C108" s="5"/>
      <c r="D108" s="5"/>
    </row>
    <row r="109" spans="1:4" x14ac:dyDescent="0.3">
      <c r="A109" s="5" t="s">
        <v>272</v>
      </c>
      <c r="B109" s="5" t="s">
        <v>273</v>
      </c>
      <c r="C109" s="5"/>
      <c r="D109" s="5"/>
    </row>
    <row r="110" spans="1:4" x14ac:dyDescent="0.3">
      <c r="A110" s="5" t="s">
        <v>274</v>
      </c>
      <c r="B110" s="5" t="s">
        <v>275</v>
      </c>
      <c r="C110" s="5"/>
      <c r="D110" s="5"/>
    </row>
    <row r="111" spans="1:4" x14ac:dyDescent="0.3">
      <c r="A111" s="5" t="s">
        <v>276</v>
      </c>
      <c r="B111" s="5" t="s">
        <v>277</v>
      </c>
      <c r="C111" s="5"/>
      <c r="D111" s="5"/>
    </row>
    <row r="112" spans="1:4" x14ac:dyDescent="0.3">
      <c r="A112" s="5" t="s">
        <v>278</v>
      </c>
      <c r="B112" s="5" t="s">
        <v>279</v>
      </c>
      <c r="C112" s="5"/>
      <c r="D112" s="5"/>
    </row>
    <row r="113" spans="1:4" x14ac:dyDescent="0.3">
      <c r="A113" s="10" t="s">
        <v>280</v>
      </c>
      <c r="B113" s="5" t="s">
        <v>281</v>
      </c>
      <c r="C113" s="5" t="s">
        <v>281</v>
      </c>
      <c r="D113" s="5"/>
    </row>
    <row r="114" spans="1:4" x14ac:dyDescent="0.3">
      <c r="A114" s="5" t="s">
        <v>282</v>
      </c>
      <c r="B114" s="5" t="s">
        <v>283</v>
      </c>
      <c r="C114" s="5"/>
      <c r="D114" s="5"/>
    </row>
    <row r="115" spans="1:4" x14ac:dyDescent="0.3">
      <c r="A115" s="5" t="s">
        <v>284</v>
      </c>
      <c r="B115" s="5" t="s">
        <v>285</v>
      </c>
      <c r="C115" s="5"/>
      <c r="D115" s="5"/>
    </row>
    <row r="116" spans="1:4" x14ac:dyDescent="0.3">
      <c r="A116" s="5" t="s">
        <v>286</v>
      </c>
      <c r="B116" s="5" t="s">
        <v>287</v>
      </c>
      <c r="C116" s="5"/>
      <c r="D116" s="5"/>
    </row>
    <row r="117" spans="1:4" x14ac:dyDescent="0.3">
      <c r="A117" s="5" t="s">
        <v>286</v>
      </c>
      <c r="B117" s="5" t="s">
        <v>288</v>
      </c>
      <c r="C117" s="5"/>
      <c r="D117" s="5"/>
    </row>
    <row r="118" spans="1:4" x14ac:dyDescent="0.3">
      <c r="A118" s="5" t="s">
        <v>286</v>
      </c>
      <c r="B118" s="5" t="s">
        <v>289</v>
      </c>
      <c r="C118" s="5"/>
      <c r="D118" s="5"/>
    </row>
    <row r="119" spans="1:4" x14ac:dyDescent="0.3">
      <c r="A119" s="5" t="s">
        <v>290</v>
      </c>
      <c r="B119" s="5" t="s">
        <v>291</v>
      </c>
      <c r="C119" s="5"/>
      <c r="D119" s="5"/>
    </row>
    <row r="120" spans="1:4" x14ac:dyDescent="0.3">
      <c r="A120" s="5" t="s">
        <v>292</v>
      </c>
      <c r="B120" s="5" t="s">
        <v>293</v>
      </c>
      <c r="C120" s="5"/>
      <c r="D120" s="5"/>
    </row>
    <row r="121" spans="1:4" x14ac:dyDescent="0.3">
      <c r="A121" s="5" t="s">
        <v>294</v>
      </c>
      <c r="B121" s="5" t="s">
        <v>295</v>
      </c>
      <c r="C121" s="5"/>
      <c r="D121" s="5"/>
    </row>
    <row r="122" spans="1:4" x14ac:dyDescent="0.3">
      <c r="A122" s="5" t="s">
        <v>296</v>
      </c>
      <c r="B122" s="5" t="s">
        <v>297</v>
      </c>
      <c r="C122" s="5"/>
      <c r="D122" s="5"/>
    </row>
    <row r="123" spans="1:4" x14ac:dyDescent="0.3">
      <c r="A123" s="5" t="s">
        <v>296</v>
      </c>
      <c r="B123" s="5" t="s">
        <v>298</v>
      </c>
      <c r="C123" s="5"/>
      <c r="D123" s="5"/>
    </row>
    <row r="124" spans="1:4" x14ac:dyDescent="0.3">
      <c r="A124" s="5" t="s">
        <v>299</v>
      </c>
      <c r="B124" s="5" t="s">
        <v>300</v>
      </c>
      <c r="C124" s="5"/>
      <c r="D124" s="5"/>
    </row>
    <row r="125" spans="1:4" x14ac:dyDescent="0.3">
      <c r="A125" s="5" t="s">
        <v>301</v>
      </c>
      <c r="B125" s="5" t="s">
        <v>302</v>
      </c>
      <c r="C125" s="5"/>
      <c r="D125" s="5"/>
    </row>
    <row r="126" spans="1:4" x14ac:dyDescent="0.3">
      <c r="A126" s="5" t="s">
        <v>303</v>
      </c>
      <c r="B126" s="5" t="s">
        <v>304</v>
      </c>
      <c r="C126" s="5"/>
      <c r="D126" s="5"/>
    </row>
    <row r="127" spans="1:4" x14ac:dyDescent="0.3">
      <c r="A127" s="5" t="s">
        <v>305</v>
      </c>
      <c r="B127" s="5" t="s">
        <v>306</v>
      </c>
      <c r="C127" s="5"/>
      <c r="D127" s="5"/>
    </row>
    <row r="128" spans="1:4" x14ac:dyDescent="0.3">
      <c r="A128" s="5" t="s">
        <v>307</v>
      </c>
      <c r="B128" s="5" t="s">
        <v>308</v>
      </c>
      <c r="C128" s="5"/>
      <c r="D128" s="5"/>
    </row>
    <row r="129" spans="1:4" x14ac:dyDescent="0.3">
      <c r="A129" s="5" t="s">
        <v>309</v>
      </c>
      <c r="B129" s="5" t="s">
        <v>310</v>
      </c>
      <c r="C129" s="5"/>
      <c r="D129" s="5"/>
    </row>
    <row r="130" spans="1:4" x14ac:dyDescent="0.3">
      <c r="A130" s="5" t="s">
        <v>311</v>
      </c>
      <c r="B130" s="5" t="s">
        <v>312</v>
      </c>
      <c r="C130" s="5"/>
      <c r="D130" s="5"/>
    </row>
    <row r="131" spans="1:4" x14ac:dyDescent="0.3">
      <c r="A131" s="5" t="s">
        <v>313</v>
      </c>
      <c r="B131" s="5" t="s">
        <v>314</v>
      </c>
      <c r="C131" s="5"/>
      <c r="D131" s="5"/>
    </row>
    <row r="132" spans="1:4" x14ac:dyDescent="0.3">
      <c r="A132" s="5" t="s">
        <v>315</v>
      </c>
      <c r="B132" s="5" t="s">
        <v>316</v>
      </c>
      <c r="C132" s="5"/>
      <c r="D132" s="5"/>
    </row>
    <row r="133" spans="1:4" x14ac:dyDescent="0.3">
      <c r="A133" s="5" t="s">
        <v>317</v>
      </c>
      <c r="B133" s="5" t="s">
        <v>318</v>
      </c>
      <c r="C133" s="5"/>
      <c r="D133" s="5"/>
    </row>
    <row r="134" spans="1:4" x14ac:dyDescent="0.3">
      <c r="A134" s="5" t="s">
        <v>319</v>
      </c>
      <c r="B134" s="5" t="s">
        <v>320</v>
      </c>
      <c r="C134" s="5"/>
      <c r="D134" s="5"/>
    </row>
    <row r="135" spans="1:4" x14ac:dyDescent="0.3">
      <c r="A135" s="5" t="s">
        <v>321</v>
      </c>
      <c r="B135" s="5" t="s">
        <v>322</v>
      </c>
      <c r="C135" s="5"/>
      <c r="D135" s="5"/>
    </row>
    <row r="136" spans="1:4" x14ac:dyDescent="0.3">
      <c r="A136" s="5" t="s">
        <v>323</v>
      </c>
      <c r="B136" s="5" t="s">
        <v>324</v>
      </c>
      <c r="C136" s="5"/>
      <c r="D136" s="5"/>
    </row>
    <row r="137" spans="1:4" x14ac:dyDescent="0.3">
      <c r="A137" s="5" t="s">
        <v>325</v>
      </c>
      <c r="B137" s="5" t="s">
        <v>326</v>
      </c>
      <c r="C137" s="5"/>
      <c r="D137" s="5"/>
    </row>
    <row r="138" spans="1:4" x14ac:dyDescent="0.3">
      <c r="A138" s="5" t="s">
        <v>327</v>
      </c>
      <c r="B138" s="5" t="s">
        <v>328</v>
      </c>
      <c r="C138" s="5"/>
      <c r="D138" s="5"/>
    </row>
    <row r="139" spans="1:4" x14ac:dyDescent="0.3">
      <c r="A139" s="5" t="s">
        <v>329</v>
      </c>
      <c r="B139" s="5" t="s">
        <v>330</v>
      </c>
      <c r="C139" s="5"/>
      <c r="D139" s="5"/>
    </row>
    <row r="140" spans="1:4" x14ac:dyDescent="0.3">
      <c r="A140" s="5" t="s">
        <v>329</v>
      </c>
      <c r="B140" s="5" t="s">
        <v>331</v>
      </c>
      <c r="C140" s="5"/>
      <c r="D140" s="5"/>
    </row>
    <row r="141" spans="1:4" x14ac:dyDescent="0.3">
      <c r="A141" s="5" t="s">
        <v>16</v>
      </c>
      <c r="B141" s="5" t="s">
        <v>332</v>
      </c>
      <c r="C141" s="5"/>
      <c r="D141" s="5"/>
    </row>
    <row r="142" spans="1:4" x14ac:dyDescent="0.3">
      <c r="A142" s="5" t="s">
        <v>333</v>
      </c>
      <c r="B142" s="5" t="s">
        <v>334</v>
      </c>
      <c r="C142" s="5"/>
      <c r="D142" s="5"/>
    </row>
    <row r="143" spans="1:4" x14ac:dyDescent="0.3">
      <c r="A143" s="5" t="s">
        <v>335</v>
      </c>
      <c r="B143" s="5" t="s">
        <v>336</v>
      </c>
      <c r="C143" s="5"/>
      <c r="D143" s="5"/>
    </row>
    <row r="144" spans="1:4" x14ac:dyDescent="0.3">
      <c r="A144" s="5" t="s">
        <v>337</v>
      </c>
      <c r="B144" s="5" t="s">
        <v>338</v>
      </c>
      <c r="C144" s="5"/>
      <c r="D144" s="5"/>
    </row>
    <row r="145" spans="1:4" x14ac:dyDescent="0.3">
      <c r="A145" s="5" t="s">
        <v>339</v>
      </c>
      <c r="B145" s="5" t="s">
        <v>340</v>
      </c>
      <c r="C145" s="5"/>
      <c r="D145" s="5"/>
    </row>
    <row r="146" spans="1:4" x14ac:dyDescent="0.3">
      <c r="A146" s="5" t="s">
        <v>341</v>
      </c>
      <c r="B146" s="5" t="s">
        <v>342</v>
      </c>
      <c r="C146" s="5"/>
      <c r="D146" s="5"/>
    </row>
    <row r="147" spans="1:4" x14ac:dyDescent="0.3">
      <c r="A147" s="5" t="s">
        <v>343</v>
      </c>
      <c r="B147" s="5" t="s">
        <v>344</v>
      </c>
      <c r="C147" s="5"/>
      <c r="D147" s="5"/>
    </row>
    <row r="148" spans="1:4" x14ac:dyDescent="0.3">
      <c r="A148" s="5" t="s">
        <v>345</v>
      </c>
      <c r="B148" s="5" t="s">
        <v>346</v>
      </c>
      <c r="C148" s="5"/>
      <c r="D148" s="5"/>
    </row>
    <row r="149" spans="1:4" x14ac:dyDescent="0.3">
      <c r="A149" s="5" t="s">
        <v>347</v>
      </c>
      <c r="B149" s="5" t="s">
        <v>348</v>
      </c>
      <c r="C149" s="5"/>
      <c r="D149" s="5"/>
    </row>
    <row r="150" spans="1:4" x14ac:dyDescent="0.3">
      <c r="A150" s="5" t="s">
        <v>349</v>
      </c>
      <c r="B150" s="5" t="s">
        <v>350</v>
      </c>
      <c r="C150" s="5"/>
      <c r="D150" s="5"/>
    </row>
    <row r="151" spans="1:4" x14ac:dyDescent="0.3">
      <c r="A151" s="5" t="s">
        <v>351</v>
      </c>
      <c r="B151" s="5" t="s">
        <v>352</v>
      </c>
      <c r="C151" s="5"/>
      <c r="D151" s="5"/>
    </row>
    <row r="152" spans="1:4" x14ac:dyDescent="0.3">
      <c r="A152" s="5" t="s">
        <v>353</v>
      </c>
      <c r="B152" s="5" t="s">
        <v>354</v>
      </c>
      <c r="C152" s="5"/>
      <c r="D152" s="5"/>
    </row>
    <row r="153" spans="1:4" x14ac:dyDescent="0.3">
      <c r="A153" s="5" t="s">
        <v>355</v>
      </c>
      <c r="B153" s="5" t="s">
        <v>356</v>
      </c>
      <c r="C153" s="5"/>
      <c r="D153" s="5"/>
    </row>
    <row r="154" spans="1:4" x14ac:dyDescent="0.3">
      <c r="A154" s="5" t="s">
        <v>357</v>
      </c>
      <c r="B154" s="5" t="s">
        <v>358</v>
      </c>
      <c r="C154" s="5"/>
      <c r="D154" s="5"/>
    </row>
    <row r="155" spans="1:4" x14ac:dyDescent="0.3">
      <c r="A155" s="5" t="s">
        <v>359</v>
      </c>
      <c r="B155" s="5" t="s">
        <v>360</v>
      </c>
      <c r="C155" s="5"/>
      <c r="D155" s="5"/>
    </row>
    <row r="156" spans="1:4" x14ac:dyDescent="0.3">
      <c r="A156" s="5" t="s">
        <v>361</v>
      </c>
      <c r="B156" s="5" t="s">
        <v>362</v>
      </c>
      <c r="C156" s="5"/>
      <c r="D156" s="5"/>
    </row>
    <row r="157" spans="1:4" x14ac:dyDescent="0.3">
      <c r="A157" s="10" t="s">
        <v>363</v>
      </c>
      <c r="B157" s="10" t="s">
        <v>364</v>
      </c>
      <c r="C157" s="10" t="s">
        <v>365</v>
      </c>
      <c r="D157" s="5"/>
    </row>
    <row r="158" spans="1:4" x14ac:dyDescent="0.3">
      <c r="A158" s="5" t="s">
        <v>366</v>
      </c>
      <c r="B158" s="5" t="s">
        <v>367</v>
      </c>
      <c r="C158" s="5"/>
      <c r="D158" s="5" t="s">
        <v>108</v>
      </c>
    </row>
    <row r="159" spans="1:4" x14ac:dyDescent="0.3">
      <c r="A159" s="5" t="s">
        <v>368</v>
      </c>
      <c r="B159" s="5" t="s">
        <v>369</v>
      </c>
      <c r="C159" s="5"/>
      <c r="D159" s="5" t="s">
        <v>370</v>
      </c>
    </row>
    <row r="160" spans="1:4" x14ac:dyDescent="0.3">
      <c r="A160" s="5" t="s">
        <v>371</v>
      </c>
      <c r="B160" s="5" t="s">
        <v>372</v>
      </c>
      <c r="C160" s="5"/>
      <c r="D160" s="5" t="s">
        <v>370</v>
      </c>
    </row>
    <row r="161" spans="1:4" x14ac:dyDescent="0.3">
      <c r="A161" s="5" t="s">
        <v>373</v>
      </c>
      <c r="B161" s="5" t="s">
        <v>374</v>
      </c>
      <c r="C161" s="5"/>
      <c r="D161" s="5"/>
    </row>
    <row r="162" spans="1:4" x14ac:dyDescent="0.3">
      <c r="A162" s="5" t="s">
        <v>375</v>
      </c>
      <c r="B162" s="5" t="s">
        <v>376</v>
      </c>
      <c r="C162" s="5"/>
      <c r="D162" s="5"/>
    </row>
    <row r="163" spans="1:4" x14ac:dyDescent="0.3">
      <c r="A163" s="5" t="s">
        <v>377</v>
      </c>
      <c r="B163" s="5" t="s">
        <v>378</v>
      </c>
      <c r="C163" s="5"/>
      <c r="D163" s="5"/>
    </row>
    <row r="164" spans="1:4" x14ac:dyDescent="0.3">
      <c r="A164" s="5" t="s">
        <v>379</v>
      </c>
      <c r="B164" s="5" t="s">
        <v>380</v>
      </c>
      <c r="C164" s="5"/>
      <c r="D164" s="5"/>
    </row>
    <row r="165" spans="1:4" x14ac:dyDescent="0.3">
      <c r="A165" s="5" t="s">
        <v>381</v>
      </c>
      <c r="B165" s="5" t="s">
        <v>382</v>
      </c>
      <c r="C165" s="5" t="s">
        <v>383</v>
      </c>
      <c r="D165" s="5"/>
    </row>
    <row r="166" spans="1:4" x14ac:dyDescent="0.3">
      <c r="A166" s="5" t="s">
        <v>384</v>
      </c>
      <c r="B166" s="5" t="s">
        <v>385</v>
      </c>
      <c r="C166" s="5"/>
      <c r="D166" s="5"/>
    </row>
    <row r="167" spans="1:4" x14ac:dyDescent="0.3">
      <c r="A167" s="5" t="s">
        <v>384</v>
      </c>
      <c r="B167" s="5" t="s">
        <v>386</v>
      </c>
      <c r="C167" s="5"/>
      <c r="D167" s="5"/>
    </row>
    <row r="168" spans="1:4" x14ac:dyDescent="0.3">
      <c r="A168" s="5" t="s">
        <v>387</v>
      </c>
      <c r="B168" s="5" t="s">
        <v>388</v>
      </c>
      <c r="C168" s="5"/>
      <c r="D168" s="5"/>
    </row>
    <row r="169" spans="1:4" x14ac:dyDescent="0.3">
      <c r="A169" s="5" t="s">
        <v>389</v>
      </c>
      <c r="B169" s="5" t="s">
        <v>390</v>
      </c>
      <c r="C169" s="5"/>
      <c r="D169" s="5"/>
    </row>
    <row r="170" spans="1:4" x14ac:dyDescent="0.3">
      <c r="A170" s="5" t="s">
        <v>391</v>
      </c>
      <c r="B170" s="5" t="s">
        <v>392</v>
      </c>
      <c r="C170" s="5"/>
      <c r="D170" s="5"/>
    </row>
    <row r="171" spans="1:4" x14ac:dyDescent="0.3">
      <c r="A171" s="5" t="s">
        <v>393</v>
      </c>
      <c r="B171" s="5" t="s">
        <v>394</v>
      </c>
      <c r="C171" s="5"/>
      <c r="D171" s="5"/>
    </row>
    <row r="172" spans="1:4" x14ac:dyDescent="0.3">
      <c r="A172" s="5" t="s">
        <v>395</v>
      </c>
      <c r="B172" s="5" t="s">
        <v>396</v>
      </c>
      <c r="C172" s="5"/>
      <c r="D172" s="5"/>
    </row>
    <row r="173" spans="1:4" x14ac:dyDescent="0.3">
      <c r="A173" s="5" t="s">
        <v>397</v>
      </c>
      <c r="B173" s="5" t="s">
        <v>398</v>
      </c>
      <c r="C173" s="5"/>
      <c r="D173" s="5"/>
    </row>
    <row r="174" spans="1:4" x14ac:dyDescent="0.3">
      <c r="A174" s="5" t="s">
        <v>43</v>
      </c>
      <c r="B174" s="5" t="s">
        <v>399</v>
      </c>
      <c r="C174" s="5"/>
      <c r="D174" s="5"/>
    </row>
    <row r="175" spans="1:4" x14ac:dyDescent="0.3">
      <c r="A175" s="5" t="s">
        <v>400</v>
      </c>
      <c r="B175" s="5" t="s">
        <v>401</v>
      </c>
      <c r="C175" s="5"/>
      <c r="D175" s="5"/>
    </row>
    <row r="176" spans="1:4" x14ac:dyDescent="0.3">
      <c r="A176" s="5" t="s">
        <v>402</v>
      </c>
      <c r="B176" s="5" t="s">
        <v>403</v>
      </c>
      <c r="C176" s="5"/>
      <c r="D176" s="5"/>
    </row>
    <row r="177" spans="1:4" x14ac:dyDescent="0.3">
      <c r="A177" s="5" t="s">
        <v>404</v>
      </c>
      <c r="B177" s="5" t="s">
        <v>405</v>
      </c>
      <c r="C177" s="5"/>
      <c r="D177" s="5"/>
    </row>
    <row r="178" spans="1:4" x14ac:dyDescent="0.3">
      <c r="A178" s="5" t="s">
        <v>406</v>
      </c>
      <c r="B178" s="5" t="s">
        <v>407</v>
      </c>
      <c r="C178" s="5"/>
      <c r="D178" s="5"/>
    </row>
    <row r="179" spans="1:4" x14ac:dyDescent="0.3">
      <c r="A179" s="5" t="s">
        <v>408</v>
      </c>
      <c r="B179" s="5" t="s">
        <v>409</v>
      </c>
      <c r="C179" s="5" t="s">
        <v>410</v>
      </c>
      <c r="D179" s="5"/>
    </row>
    <row r="180" spans="1:4" x14ac:dyDescent="0.3">
      <c r="A180" s="5" t="s">
        <v>411</v>
      </c>
      <c r="B180" s="5" t="s">
        <v>412</v>
      </c>
      <c r="C180" s="5"/>
      <c r="D180" s="5"/>
    </row>
    <row r="181" spans="1:4" x14ac:dyDescent="0.3">
      <c r="A181" s="5" t="s">
        <v>413</v>
      </c>
      <c r="B181" s="5" t="s">
        <v>414</v>
      </c>
      <c r="C181" s="5"/>
      <c r="D181" s="5"/>
    </row>
    <row r="182" spans="1:4" x14ac:dyDescent="0.3">
      <c r="A182" s="5" t="s">
        <v>415</v>
      </c>
      <c r="B182" s="5" t="s">
        <v>416</v>
      </c>
      <c r="C182" s="5"/>
      <c r="D182" s="5"/>
    </row>
    <row r="183" spans="1:4" x14ac:dyDescent="0.3">
      <c r="A183" s="5" t="s">
        <v>417</v>
      </c>
      <c r="B183" s="5" t="s">
        <v>418</v>
      </c>
      <c r="C183" s="5" t="s">
        <v>419</v>
      </c>
      <c r="D183" s="5"/>
    </row>
    <row r="184" spans="1:4" x14ac:dyDescent="0.3">
      <c r="A184" s="5" t="s">
        <v>420</v>
      </c>
      <c r="B184" s="5" t="s">
        <v>421</v>
      </c>
      <c r="C184" s="5"/>
      <c r="D184" s="5"/>
    </row>
    <row r="185" spans="1:4" x14ac:dyDescent="0.3">
      <c r="A185" s="5" t="s">
        <v>422</v>
      </c>
      <c r="B185" s="5" t="s">
        <v>423</v>
      </c>
      <c r="C185" s="5"/>
      <c r="D185" s="5"/>
    </row>
    <row r="186" spans="1:4" x14ac:dyDescent="0.3">
      <c r="A186" s="5" t="s">
        <v>424</v>
      </c>
      <c r="B186" s="5" t="s">
        <v>425</v>
      </c>
      <c r="C186" s="5"/>
      <c r="D186" s="5"/>
    </row>
    <row r="187" spans="1:4" x14ac:dyDescent="0.3">
      <c r="A187" s="5" t="s">
        <v>426</v>
      </c>
      <c r="B187" s="5" t="s">
        <v>427</v>
      </c>
      <c r="C187" s="5"/>
      <c r="D187" s="5"/>
    </row>
    <row r="188" spans="1:4" x14ac:dyDescent="0.3">
      <c r="A188" s="5" t="s">
        <v>428</v>
      </c>
      <c r="B188" s="5" t="s">
        <v>429</v>
      </c>
      <c r="C188" s="5"/>
      <c r="D188" s="5"/>
    </row>
    <row r="189" spans="1:4" x14ac:dyDescent="0.3">
      <c r="A189" s="5" t="s">
        <v>430</v>
      </c>
      <c r="B189" s="5" t="s">
        <v>431</v>
      </c>
      <c r="C189" s="5"/>
      <c r="D189" s="5"/>
    </row>
    <row r="190" spans="1:4" x14ac:dyDescent="0.3">
      <c r="A190" s="5" t="s">
        <v>432</v>
      </c>
      <c r="B190" s="5" t="s">
        <v>433</v>
      </c>
      <c r="C190" s="5"/>
      <c r="D190" s="5"/>
    </row>
    <row r="191" spans="1:4" x14ac:dyDescent="0.3">
      <c r="A191" s="5" t="s">
        <v>434</v>
      </c>
      <c r="B191" s="5" t="s">
        <v>435</v>
      </c>
      <c r="C191" s="5"/>
      <c r="D191" s="5"/>
    </row>
    <row r="192" spans="1:4" x14ac:dyDescent="0.3">
      <c r="A192" s="5" t="s">
        <v>436</v>
      </c>
      <c r="B192" s="5" t="s">
        <v>437</v>
      </c>
      <c r="C192" s="5"/>
      <c r="D192" s="5"/>
    </row>
    <row r="193" spans="1:4" x14ac:dyDescent="0.3">
      <c r="A193" s="5" t="s">
        <v>438</v>
      </c>
      <c r="B193" s="5" t="s">
        <v>439</v>
      </c>
      <c r="C193" s="5"/>
      <c r="D193" s="5"/>
    </row>
    <row r="194" spans="1:4" x14ac:dyDescent="0.3">
      <c r="A194" s="5" t="s">
        <v>440</v>
      </c>
      <c r="B194" s="5" t="s">
        <v>441</v>
      </c>
      <c r="C194" s="5"/>
      <c r="D194" s="5"/>
    </row>
    <row r="195" spans="1:4" x14ac:dyDescent="0.3">
      <c r="A195" s="5" t="s">
        <v>442</v>
      </c>
      <c r="B195" s="5" t="s">
        <v>443</v>
      </c>
      <c r="C195" s="5"/>
      <c r="D195" s="5"/>
    </row>
    <row r="196" spans="1:4" x14ac:dyDescent="0.3">
      <c r="A196" s="5" t="s">
        <v>444</v>
      </c>
      <c r="B196" s="5" t="s">
        <v>445</v>
      </c>
      <c r="C196" s="5"/>
      <c r="D196" s="5"/>
    </row>
    <row r="197" spans="1:4" x14ac:dyDescent="0.3">
      <c r="A197" s="5" t="s">
        <v>446</v>
      </c>
      <c r="B197" s="5" t="s">
        <v>447</v>
      </c>
      <c r="C197" s="5"/>
      <c r="D197" s="5"/>
    </row>
    <row r="198" spans="1:4" x14ac:dyDescent="0.3">
      <c r="A198" s="5" t="s">
        <v>448</v>
      </c>
      <c r="B198" s="5" t="s">
        <v>449</v>
      </c>
      <c r="C198" s="5"/>
      <c r="D198" s="5"/>
    </row>
    <row r="199" spans="1:4" x14ac:dyDescent="0.3">
      <c r="A199" s="5" t="s">
        <v>450</v>
      </c>
      <c r="B199" s="5" t="s">
        <v>451</v>
      </c>
      <c r="C199" s="5"/>
      <c r="D199" s="5"/>
    </row>
    <row r="200" spans="1:4" x14ac:dyDescent="0.3">
      <c r="A200" s="5" t="s">
        <v>452</v>
      </c>
      <c r="B200" s="5" t="s">
        <v>453</v>
      </c>
      <c r="C200" s="5"/>
      <c r="D200" s="5"/>
    </row>
    <row r="201" spans="1:4" x14ac:dyDescent="0.3">
      <c r="A201" s="5" t="s">
        <v>454</v>
      </c>
      <c r="B201" s="5" t="s">
        <v>455</v>
      </c>
      <c r="C201" s="5"/>
      <c r="D201" s="5"/>
    </row>
    <row r="202" spans="1:4" x14ac:dyDescent="0.3">
      <c r="A202" s="5" t="s">
        <v>456</v>
      </c>
      <c r="B202" s="5" t="s">
        <v>457</v>
      </c>
      <c r="C202" s="5"/>
      <c r="D202" s="5"/>
    </row>
    <row r="203" spans="1:4" x14ac:dyDescent="0.3">
      <c r="A203" s="5" t="s">
        <v>35</v>
      </c>
      <c r="B203" s="5" t="s">
        <v>458</v>
      </c>
      <c r="C203" s="5"/>
      <c r="D203" s="5"/>
    </row>
    <row r="204" spans="1:4" x14ac:dyDescent="0.3">
      <c r="A204" s="5" t="s">
        <v>459</v>
      </c>
      <c r="B204" s="5" t="s">
        <v>460</v>
      </c>
      <c r="C204" s="5"/>
      <c r="D204" s="5"/>
    </row>
    <row r="205" spans="1:4" x14ac:dyDescent="0.3">
      <c r="A205" s="5" t="s">
        <v>461</v>
      </c>
      <c r="B205" s="5" t="s">
        <v>462</v>
      </c>
      <c r="C205" s="5"/>
      <c r="D205" s="5"/>
    </row>
    <row r="206" spans="1:4" x14ac:dyDescent="0.3">
      <c r="A206" s="5" t="s">
        <v>11</v>
      </c>
      <c r="B206" s="5" t="s">
        <v>463</v>
      </c>
      <c r="C206" s="5"/>
      <c r="D206" s="5"/>
    </row>
    <row r="207" spans="1:4" x14ac:dyDescent="0.3">
      <c r="A207" s="5" t="s">
        <v>464</v>
      </c>
      <c r="B207" s="5" t="s">
        <v>465</v>
      </c>
      <c r="C207" s="5"/>
      <c r="D207" s="5"/>
    </row>
    <row r="208" spans="1:4" x14ac:dyDescent="0.3">
      <c r="A208" s="5" t="s">
        <v>466</v>
      </c>
      <c r="B208" s="5" t="s">
        <v>467</v>
      </c>
      <c r="C208" s="5"/>
      <c r="D208" s="5"/>
    </row>
    <row r="209" spans="1:4" x14ac:dyDescent="0.3">
      <c r="A209" s="5" t="s">
        <v>466</v>
      </c>
      <c r="B209" s="5" t="s">
        <v>468</v>
      </c>
      <c r="C209" s="5"/>
      <c r="D209" s="5"/>
    </row>
    <row r="210" spans="1:4" x14ac:dyDescent="0.3">
      <c r="A210" s="5" t="s">
        <v>469</v>
      </c>
      <c r="B210" s="5" t="s">
        <v>470</v>
      </c>
      <c r="C210" s="5"/>
      <c r="D210" s="5"/>
    </row>
    <row r="211" spans="1:4" x14ac:dyDescent="0.3">
      <c r="A211" s="5" t="s">
        <v>469</v>
      </c>
      <c r="B211" s="5" t="s">
        <v>471</v>
      </c>
      <c r="C211" s="5" t="s">
        <v>472</v>
      </c>
      <c r="D211" s="5" t="s">
        <v>473</v>
      </c>
    </row>
    <row r="212" spans="1:4" x14ac:dyDescent="0.3">
      <c r="A212" s="5" t="s">
        <v>474</v>
      </c>
      <c r="B212" s="5" t="s">
        <v>475</v>
      </c>
      <c r="C212" s="5"/>
      <c r="D212" s="5"/>
    </row>
    <row r="213" spans="1:4" x14ac:dyDescent="0.3">
      <c r="A213" s="5" t="s">
        <v>476</v>
      </c>
      <c r="B213" s="5" t="s">
        <v>477</v>
      </c>
      <c r="C213" s="5"/>
      <c r="D213" s="5"/>
    </row>
    <row r="214" spans="1:4" x14ac:dyDescent="0.3">
      <c r="A214" s="5" t="s">
        <v>478</v>
      </c>
      <c r="B214" s="5" t="s">
        <v>479</v>
      </c>
      <c r="C214" s="5"/>
      <c r="D214" s="5"/>
    </row>
    <row r="215" spans="1:4" x14ac:dyDescent="0.3">
      <c r="A215" s="5" t="s">
        <v>478</v>
      </c>
      <c r="B215" s="5" t="s">
        <v>480</v>
      </c>
      <c r="C215" s="5"/>
      <c r="D215" s="5"/>
    </row>
    <row r="216" spans="1:4" x14ac:dyDescent="0.3">
      <c r="A216" s="5" t="s">
        <v>478</v>
      </c>
      <c r="B216" s="5" t="s">
        <v>481</v>
      </c>
      <c r="C216" s="5"/>
      <c r="D216" s="5"/>
    </row>
    <row r="217" spans="1:4" x14ac:dyDescent="0.3">
      <c r="A217" s="5" t="s">
        <v>482</v>
      </c>
      <c r="B217" s="5" t="s">
        <v>483</v>
      </c>
      <c r="C217" s="5"/>
      <c r="D217" s="5"/>
    </row>
    <row r="218" spans="1:4" x14ac:dyDescent="0.3">
      <c r="A218" s="5" t="s">
        <v>484</v>
      </c>
      <c r="B218" s="5" t="s">
        <v>485</v>
      </c>
      <c r="C218" s="5" t="s">
        <v>486</v>
      </c>
      <c r="D218" s="5"/>
    </row>
    <row r="219" spans="1:4" x14ac:dyDescent="0.3">
      <c r="A219" s="5" t="s">
        <v>487</v>
      </c>
      <c r="B219" s="5" t="s">
        <v>488</v>
      </c>
      <c r="C219" s="5"/>
      <c r="D219" s="5"/>
    </row>
    <row r="220" spans="1:4" x14ac:dyDescent="0.3">
      <c r="A220" s="5" t="s">
        <v>489</v>
      </c>
      <c r="B220" s="5" t="s">
        <v>490</v>
      </c>
      <c r="C220" s="5"/>
      <c r="D220" s="5"/>
    </row>
    <row r="221" spans="1:4" x14ac:dyDescent="0.3">
      <c r="A221" s="5" t="s">
        <v>491</v>
      </c>
      <c r="B221" s="5" t="s">
        <v>492</v>
      </c>
      <c r="C221" s="5"/>
      <c r="D221" s="5"/>
    </row>
    <row r="222" spans="1:4" x14ac:dyDescent="0.3">
      <c r="A222" s="5" t="s">
        <v>493</v>
      </c>
      <c r="B222" s="5" t="s">
        <v>494</v>
      </c>
      <c r="C222" s="5"/>
      <c r="D222" s="5"/>
    </row>
    <row r="223" spans="1:4" x14ac:dyDescent="0.3">
      <c r="A223" s="5" t="s">
        <v>495</v>
      </c>
      <c r="B223" s="5" t="s">
        <v>496</v>
      </c>
      <c r="C223" s="5"/>
      <c r="D223" s="5"/>
    </row>
    <row r="224" spans="1:4" x14ac:dyDescent="0.3">
      <c r="A224" s="5" t="s">
        <v>497</v>
      </c>
      <c r="B224" s="5" t="s">
        <v>498</v>
      </c>
      <c r="C224" s="5"/>
      <c r="D224" s="5"/>
    </row>
    <row r="225" spans="1:4" x14ac:dyDescent="0.3">
      <c r="A225" s="5" t="s">
        <v>499</v>
      </c>
      <c r="B225" s="5" t="s">
        <v>500</v>
      </c>
      <c r="C225" s="5"/>
      <c r="D225" s="5"/>
    </row>
    <row r="226" spans="1:4" x14ac:dyDescent="0.3">
      <c r="A226" s="5" t="s">
        <v>501</v>
      </c>
      <c r="B226" s="5" t="s">
        <v>502</v>
      </c>
      <c r="C226" s="5"/>
      <c r="D226" s="5"/>
    </row>
    <row r="227" spans="1:4" x14ac:dyDescent="0.3">
      <c r="A227" s="5" t="s">
        <v>503</v>
      </c>
      <c r="B227" s="5" t="s">
        <v>504</v>
      </c>
      <c r="C227" s="5"/>
      <c r="D227" s="5"/>
    </row>
    <row r="228" spans="1:4" x14ac:dyDescent="0.3">
      <c r="A228" s="5" t="s">
        <v>505</v>
      </c>
      <c r="B228" s="5" t="s">
        <v>506</v>
      </c>
      <c r="C228" s="5"/>
      <c r="D228" s="5"/>
    </row>
    <row r="229" spans="1:4" x14ac:dyDescent="0.3">
      <c r="A229" s="5" t="s">
        <v>507</v>
      </c>
      <c r="B229" s="5" t="s">
        <v>508</v>
      </c>
      <c r="C229" s="5"/>
      <c r="D229" s="5"/>
    </row>
    <row r="230" spans="1:4" x14ac:dyDescent="0.3">
      <c r="A230" s="5" t="s">
        <v>509</v>
      </c>
      <c r="B230" s="5" t="s">
        <v>510</v>
      </c>
      <c r="C230" s="5"/>
      <c r="D230" s="5"/>
    </row>
    <row r="231" spans="1:4" x14ac:dyDescent="0.3">
      <c r="A231" s="5" t="s">
        <v>511</v>
      </c>
      <c r="B231" s="5" t="s">
        <v>512</v>
      </c>
      <c r="C231" s="5"/>
      <c r="D231" s="5"/>
    </row>
    <row r="232" spans="1:4" x14ac:dyDescent="0.3">
      <c r="A232" s="5" t="s">
        <v>513</v>
      </c>
      <c r="B232" s="5" t="s">
        <v>514</v>
      </c>
      <c r="C232" s="5"/>
      <c r="D232" s="5"/>
    </row>
    <row r="233" spans="1:4" x14ac:dyDescent="0.3">
      <c r="A233" s="5" t="s">
        <v>515</v>
      </c>
      <c r="B233" s="5" t="s">
        <v>516</v>
      </c>
      <c r="C233" s="5"/>
      <c r="D233" s="5"/>
    </row>
    <row r="234" spans="1:4" x14ac:dyDescent="0.3">
      <c r="A234" s="5" t="s">
        <v>517</v>
      </c>
      <c r="B234" s="5" t="s">
        <v>518</v>
      </c>
      <c r="C234" s="5"/>
      <c r="D234" s="5"/>
    </row>
    <row r="235" spans="1:4" x14ac:dyDescent="0.3">
      <c r="A235" s="5" t="s">
        <v>519</v>
      </c>
      <c r="B235" s="5" t="s">
        <v>520</v>
      </c>
      <c r="C235" s="5"/>
      <c r="D235" s="5"/>
    </row>
    <row r="236" spans="1:4" x14ac:dyDescent="0.3">
      <c r="A236" s="5" t="s">
        <v>521</v>
      </c>
      <c r="B236" s="5" t="s">
        <v>522</v>
      </c>
      <c r="C236" s="5"/>
      <c r="D236" s="5"/>
    </row>
    <row r="237" spans="1:4" x14ac:dyDescent="0.3">
      <c r="A237" s="10" t="s">
        <v>523</v>
      </c>
      <c r="B237" s="10" t="s">
        <v>524</v>
      </c>
      <c r="C237" s="5" t="s">
        <v>525</v>
      </c>
      <c r="D237" s="5"/>
    </row>
    <row r="238" spans="1:4" x14ac:dyDescent="0.3">
      <c r="A238" s="5" t="s">
        <v>526</v>
      </c>
      <c r="B238" s="5" t="s">
        <v>527</v>
      </c>
      <c r="C238" s="5"/>
      <c r="D238" s="5"/>
    </row>
    <row r="239" spans="1:4" x14ac:dyDescent="0.3">
      <c r="A239" s="5" t="s">
        <v>528</v>
      </c>
      <c r="B239" s="5" t="s">
        <v>529</v>
      </c>
      <c r="C239" s="5"/>
      <c r="D239" s="5"/>
    </row>
    <row r="240" spans="1:4" x14ac:dyDescent="0.3">
      <c r="A240" s="5" t="s">
        <v>530</v>
      </c>
      <c r="B240" s="5" t="s">
        <v>531</v>
      </c>
      <c r="C240" s="5"/>
      <c r="D240" s="5"/>
    </row>
    <row r="241" spans="1:4" x14ac:dyDescent="0.3">
      <c r="A241" s="5" t="s">
        <v>532</v>
      </c>
      <c r="B241" s="5" t="s">
        <v>533</v>
      </c>
      <c r="C241" s="5"/>
      <c r="D241" s="5"/>
    </row>
    <row r="242" spans="1:4" x14ac:dyDescent="0.3">
      <c r="A242" s="5" t="s">
        <v>534</v>
      </c>
      <c r="B242" s="5" t="s">
        <v>535</v>
      </c>
      <c r="C242" s="5"/>
      <c r="D242" s="5" t="s">
        <v>108</v>
      </c>
    </row>
    <row r="243" spans="1:4" x14ac:dyDescent="0.3">
      <c r="A243" s="5" t="s">
        <v>536</v>
      </c>
      <c r="B243" s="5" t="s">
        <v>537</v>
      </c>
      <c r="C243" s="5"/>
      <c r="D243" s="5"/>
    </row>
    <row r="244" spans="1:4" x14ac:dyDescent="0.3">
      <c r="A244" s="5" t="s">
        <v>538</v>
      </c>
      <c r="B244" s="5" t="s">
        <v>539</v>
      </c>
      <c r="C244" s="5"/>
      <c r="D244" s="5" t="s">
        <v>370</v>
      </c>
    </row>
    <row r="245" spans="1:4" x14ac:dyDescent="0.3">
      <c r="A245" s="5" t="s">
        <v>540</v>
      </c>
      <c r="B245" s="5" t="s">
        <v>541</v>
      </c>
      <c r="C245" s="5"/>
      <c r="D245" s="5" t="s">
        <v>542</v>
      </c>
    </row>
    <row r="246" spans="1:4" x14ac:dyDescent="0.3">
      <c r="A246" s="5" t="s">
        <v>543</v>
      </c>
      <c r="B246" s="5" t="s">
        <v>544</v>
      </c>
      <c r="C246" s="5"/>
      <c r="D246" s="5"/>
    </row>
    <row r="247" spans="1:4" x14ac:dyDescent="0.3">
      <c r="A247" s="5" t="s">
        <v>545</v>
      </c>
      <c r="B247" s="5" t="s">
        <v>546</v>
      </c>
      <c r="C247" s="5"/>
      <c r="D247" s="5"/>
    </row>
    <row r="248" spans="1:4" x14ac:dyDescent="0.3">
      <c r="A248" s="5" t="s">
        <v>547</v>
      </c>
      <c r="B248" s="5" t="s">
        <v>548</v>
      </c>
      <c r="C248" s="5"/>
      <c r="D248" s="5"/>
    </row>
    <row r="249" spans="1:4" x14ac:dyDescent="0.3">
      <c r="A249" s="5" t="s">
        <v>549</v>
      </c>
      <c r="B249" s="5" t="s">
        <v>550</v>
      </c>
      <c r="C249" s="5"/>
      <c r="D249" s="5"/>
    </row>
    <row r="250" spans="1:4" x14ac:dyDescent="0.3">
      <c r="A250" s="5" t="s">
        <v>551</v>
      </c>
      <c r="B250" s="5" t="s">
        <v>552</v>
      </c>
      <c r="C250" s="5"/>
      <c r="D250" s="5"/>
    </row>
    <row r="251" spans="1:4" x14ac:dyDescent="0.3">
      <c r="A251" s="5" t="s">
        <v>553</v>
      </c>
      <c r="B251" s="5" t="s">
        <v>554</v>
      </c>
      <c r="C251" s="5"/>
      <c r="D251" s="5"/>
    </row>
    <row r="252" spans="1:4" x14ac:dyDescent="0.3">
      <c r="A252" s="5" t="s">
        <v>27</v>
      </c>
      <c r="B252" s="5" t="s">
        <v>555</v>
      </c>
      <c r="C252" s="5"/>
      <c r="D252" s="5"/>
    </row>
    <row r="253" spans="1:4" x14ac:dyDescent="0.3">
      <c r="A253" s="5" t="s">
        <v>556</v>
      </c>
      <c r="B253" s="5" t="s">
        <v>557</v>
      </c>
      <c r="C253" s="5"/>
      <c r="D253" s="5" t="s">
        <v>108</v>
      </c>
    </row>
    <row r="254" spans="1:4" x14ac:dyDescent="0.3">
      <c r="A254" s="5" t="s">
        <v>27</v>
      </c>
      <c r="B254" s="5" t="s">
        <v>558</v>
      </c>
      <c r="C254" s="5"/>
      <c r="D254" s="5"/>
    </row>
    <row r="255" spans="1:4" x14ac:dyDescent="0.3">
      <c r="A255" s="5" t="s">
        <v>559</v>
      </c>
      <c r="B255" s="5" t="s">
        <v>560</v>
      </c>
      <c r="C255" s="5"/>
      <c r="D255" s="5"/>
    </row>
    <row r="256" spans="1:4" x14ac:dyDescent="0.3">
      <c r="A256" s="5" t="s">
        <v>561</v>
      </c>
      <c r="B256" s="5" t="s">
        <v>562</v>
      </c>
      <c r="C256" s="5"/>
      <c r="D256" s="5"/>
    </row>
    <row r="257" spans="1:4" x14ac:dyDescent="0.3">
      <c r="A257" s="5" t="s">
        <v>563</v>
      </c>
      <c r="B257" s="5" t="s">
        <v>564</v>
      </c>
      <c r="C257" s="5"/>
      <c r="D257" s="5"/>
    </row>
    <row r="258" spans="1:4" x14ac:dyDescent="0.3">
      <c r="A258" s="5" t="s">
        <v>565</v>
      </c>
      <c r="B258" s="5" t="s">
        <v>566</v>
      </c>
      <c r="C258" s="5"/>
      <c r="D258" s="5"/>
    </row>
    <row r="259" spans="1:4" x14ac:dyDescent="0.3">
      <c r="A259" s="5" t="s">
        <v>567</v>
      </c>
      <c r="B259" s="5" t="s">
        <v>568</v>
      </c>
      <c r="C259" s="5"/>
      <c r="D259" s="5"/>
    </row>
    <row r="260" spans="1:4" x14ac:dyDescent="0.3">
      <c r="A260" s="5" t="s">
        <v>569</v>
      </c>
      <c r="B260" s="5" t="s">
        <v>570</v>
      </c>
      <c r="C260" s="5"/>
      <c r="D260" s="5"/>
    </row>
    <row r="261" spans="1:4" x14ac:dyDescent="0.3">
      <c r="A261" s="5" t="s">
        <v>571</v>
      </c>
      <c r="B261" s="5" t="s">
        <v>572</v>
      </c>
      <c r="C261" s="5"/>
      <c r="D261" s="5"/>
    </row>
    <row r="262" spans="1:4" x14ac:dyDescent="0.3">
      <c r="A262" s="5" t="s">
        <v>573</v>
      </c>
      <c r="B262" s="5" t="s">
        <v>574</v>
      </c>
      <c r="C262" s="5"/>
      <c r="D262" s="5"/>
    </row>
    <row r="263" spans="1:4" x14ac:dyDescent="0.3">
      <c r="A263" s="5" t="s">
        <v>575</v>
      </c>
      <c r="B263" s="5" t="s">
        <v>576</v>
      </c>
      <c r="C263" s="5"/>
      <c r="D263" s="5"/>
    </row>
    <row r="264" spans="1:4" x14ac:dyDescent="0.3">
      <c r="A264" s="5" t="s">
        <v>577</v>
      </c>
      <c r="B264" s="5" t="s">
        <v>578</v>
      </c>
      <c r="C264" s="5"/>
      <c r="D264" s="5"/>
    </row>
    <row r="265" spans="1:4" x14ac:dyDescent="0.3">
      <c r="A265" s="5" t="s">
        <v>579</v>
      </c>
      <c r="B265" s="5" t="s">
        <v>580</v>
      </c>
      <c r="C265" s="5"/>
      <c r="D265" s="5"/>
    </row>
    <row r="266" spans="1:4" x14ac:dyDescent="0.3">
      <c r="A266" s="5" t="s">
        <v>581</v>
      </c>
      <c r="B266" s="5" t="s">
        <v>582</v>
      </c>
      <c r="C266" s="5"/>
      <c r="D266" s="5"/>
    </row>
    <row r="267" spans="1:4" x14ac:dyDescent="0.3">
      <c r="A267" s="5" t="s">
        <v>583</v>
      </c>
      <c r="B267" s="5" t="s">
        <v>584</v>
      </c>
      <c r="C267" s="5"/>
      <c r="D267" s="5"/>
    </row>
    <row r="268" spans="1:4" x14ac:dyDescent="0.3">
      <c r="A268" s="5" t="s">
        <v>585</v>
      </c>
      <c r="B268" s="5" t="s">
        <v>586</v>
      </c>
      <c r="C268" s="5"/>
      <c r="D268" s="5"/>
    </row>
    <row r="269" spans="1:4" x14ac:dyDescent="0.3">
      <c r="A269" s="5" t="s">
        <v>587</v>
      </c>
      <c r="B269" s="5" t="s">
        <v>588</v>
      </c>
      <c r="C269" s="5"/>
      <c r="D269" s="5"/>
    </row>
    <row r="270" spans="1:4" x14ac:dyDescent="0.3">
      <c r="A270" s="5" t="s">
        <v>589</v>
      </c>
      <c r="B270" s="5" t="s">
        <v>590</v>
      </c>
      <c r="C270" s="5"/>
      <c r="D270" s="5"/>
    </row>
    <row r="271" spans="1:4" x14ac:dyDescent="0.3">
      <c r="A271" s="5" t="s">
        <v>591</v>
      </c>
      <c r="B271" s="5" t="s">
        <v>592</v>
      </c>
      <c r="C271" s="5"/>
      <c r="D271" s="5"/>
    </row>
    <row r="272" spans="1:4" x14ac:dyDescent="0.3">
      <c r="A272" s="5" t="s">
        <v>593</v>
      </c>
      <c r="B272" s="5" t="s">
        <v>594</v>
      </c>
      <c r="C272" s="5"/>
      <c r="D272" s="5"/>
    </row>
    <row r="273" spans="1:4" x14ac:dyDescent="0.3">
      <c r="A273" s="5" t="s">
        <v>595</v>
      </c>
      <c r="B273" s="5" t="s">
        <v>596</v>
      </c>
      <c r="C273" s="5"/>
      <c r="D273" s="5"/>
    </row>
    <row r="274" spans="1:4" x14ac:dyDescent="0.3">
      <c r="A274" s="5" t="s">
        <v>597</v>
      </c>
      <c r="B274" s="5" t="s">
        <v>598</v>
      </c>
      <c r="C274" s="5"/>
      <c r="D274" s="5"/>
    </row>
    <row r="275" spans="1:4" x14ac:dyDescent="0.3">
      <c r="A275" s="5" t="s">
        <v>599</v>
      </c>
      <c r="B275" s="5" t="s">
        <v>600</v>
      </c>
      <c r="C275" s="5"/>
      <c r="D275" s="5"/>
    </row>
    <row r="276" spans="1:4" x14ac:dyDescent="0.3">
      <c r="A276" s="5" t="s">
        <v>601</v>
      </c>
      <c r="B276" s="5" t="s">
        <v>602</v>
      </c>
      <c r="C276" s="5"/>
      <c r="D276" s="5"/>
    </row>
    <row r="277" spans="1:4" x14ac:dyDescent="0.3">
      <c r="A277" s="5" t="s">
        <v>603</v>
      </c>
      <c r="B277" s="5" t="s">
        <v>604</v>
      </c>
      <c r="C277" s="5"/>
      <c r="D277" s="5"/>
    </row>
    <row r="278" spans="1:4" x14ac:dyDescent="0.3">
      <c r="A278" s="5" t="s">
        <v>605</v>
      </c>
      <c r="B278" s="5" t="s">
        <v>606</v>
      </c>
      <c r="C278" s="5"/>
      <c r="D278" s="5"/>
    </row>
    <row r="279" spans="1:4" x14ac:dyDescent="0.3">
      <c r="A279" s="5" t="s">
        <v>607</v>
      </c>
      <c r="B279" s="5" t="s">
        <v>608</v>
      </c>
      <c r="C279" s="5"/>
      <c r="D279" s="5"/>
    </row>
    <row r="280" spans="1:4" x14ac:dyDescent="0.3">
      <c r="A280" s="5" t="s">
        <v>609</v>
      </c>
      <c r="B280" s="5" t="s">
        <v>610</v>
      </c>
      <c r="C280" s="5"/>
      <c r="D280" s="5"/>
    </row>
    <row r="281" spans="1:4" x14ac:dyDescent="0.3">
      <c r="A281" s="5" t="s">
        <v>611</v>
      </c>
      <c r="B281" s="5" t="s">
        <v>612</v>
      </c>
      <c r="C281" s="5"/>
      <c r="D281" s="5"/>
    </row>
    <row r="282" spans="1:4" x14ac:dyDescent="0.3">
      <c r="A282" s="5" t="s">
        <v>613</v>
      </c>
      <c r="B282" s="5" t="s">
        <v>614</v>
      </c>
      <c r="C282" s="5"/>
      <c r="D282" s="5"/>
    </row>
    <row r="283" spans="1:4" x14ac:dyDescent="0.3">
      <c r="A283" s="5" t="s">
        <v>615</v>
      </c>
      <c r="B283" s="5" t="s">
        <v>616</v>
      </c>
      <c r="C283" s="5"/>
      <c r="D283" s="5"/>
    </row>
    <row r="284" spans="1:4" x14ac:dyDescent="0.3">
      <c r="A284" s="5" t="s">
        <v>617</v>
      </c>
      <c r="B284" s="5" t="s">
        <v>618</v>
      </c>
      <c r="C284" s="5"/>
      <c r="D284" s="5"/>
    </row>
    <row r="285" spans="1:4" x14ac:dyDescent="0.3">
      <c r="A285" s="5" t="s">
        <v>23</v>
      </c>
      <c r="B285" s="5" t="s">
        <v>22</v>
      </c>
      <c r="C285" s="5"/>
      <c r="D285" s="5"/>
    </row>
    <row r="286" spans="1:4" x14ac:dyDescent="0.3">
      <c r="A286" s="5" t="s">
        <v>619</v>
      </c>
      <c r="B286" s="5" t="s">
        <v>620</v>
      </c>
      <c r="C286" s="5"/>
      <c r="D286" s="5"/>
    </row>
    <row r="287" spans="1:4" x14ac:dyDescent="0.3">
      <c r="A287" s="5" t="s">
        <v>621</v>
      </c>
      <c r="B287" s="5" t="s">
        <v>622</v>
      </c>
      <c r="C287" s="5"/>
      <c r="D287" s="5"/>
    </row>
    <row r="288" spans="1:4" x14ac:dyDescent="0.3">
      <c r="A288" s="5" t="s">
        <v>623</v>
      </c>
      <c r="B288" s="5" t="s">
        <v>624</v>
      </c>
      <c r="C288" s="5"/>
      <c r="D288" s="5"/>
    </row>
    <row r="289" spans="1:4" x14ac:dyDescent="0.3">
      <c r="A289" s="5" t="s">
        <v>625</v>
      </c>
      <c r="B289" s="5" t="s">
        <v>626</v>
      </c>
      <c r="C289" s="5"/>
      <c r="D289" s="5"/>
    </row>
    <row r="290" spans="1:4" x14ac:dyDescent="0.3">
      <c r="A290" s="5" t="s">
        <v>627</v>
      </c>
      <c r="B290" s="5" t="s">
        <v>628</v>
      </c>
      <c r="C290" s="5"/>
      <c r="D290" s="5"/>
    </row>
    <row r="291" spans="1:4" x14ac:dyDescent="0.3">
      <c r="A291" s="5" t="s">
        <v>629</v>
      </c>
      <c r="B291" s="5" t="s">
        <v>630</v>
      </c>
      <c r="C291" s="5"/>
      <c r="D291" s="5"/>
    </row>
    <row r="292" spans="1:4" x14ac:dyDescent="0.3">
      <c r="A292" s="5" t="s">
        <v>631</v>
      </c>
      <c r="B292" s="5" t="s">
        <v>632</v>
      </c>
      <c r="C292" s="5"/>
      <c r="D292" s="5"/>
    </row>
    <row r="293" spans="1:4" x14ac:dyDescent="0.3">
      <c r="A293" s="5" t="s">
        <v>633</v>
      </c>
      <c r="B293" s="5" t="s">
        <v>634</v>
      </c>
      <c r="C293" s="5"/>
      <c r="D293" s="5"/>
    </row>
    <row r="294" spans="1:4" x14ac:dyDescent="0.3">
      <c r="A294" s="5" t="s">
        <v>635</v>
      </c>
      <c r="B294" s="5" t="s">
        <v>636</v>
      </c>
      <c r="C294" s="5"/>
      <c r="D294" s="5"/>
    </row>
    <row r="295" spans="1:4" x14ac:dyDescent="0.3">
      <c r="A295" s="5" t="s">
        <v>637</v>
      </c>
      <c r="B295" s="5" t="s">
        <v>638</v>
      </c>
      <c r="C295" s="5"/>
      <c r="D295" s="5"/>
    </row>
    <row r="296" spans="1:4" x14ac:dyDescent="0.3">
      <c r="A296" s="5" t="s">
        <v>639</v>
      </c>
      <c r="B296" s="5" t="s">
        <v>640</v>
      </c>
      <c r="C296" s="5"/>
      <c r="D296" s="5"/>
    </row>
    <row r="297" spans="1:4" x14ac:dyDescent="0.3">
      <c r="A297" s="5" t="s">
        <v>641</v>
      </c>
      <c r="B297" s="5" t="s">
        <v>642</v>
      </c>
      <c r="C297" s="5"/>
      <c r="D297" s="5"/>
    </row>
    <row r="298" spans="1:4" x14ac:dyDescent="0.3">
      <c r="A298" s="5" t="s">
        <v>641</v>
      </c>
      <c r="B298" s="5" t="s">
        <v>643</v>
      </c>
      <c r="C298" s="5"/>
      <c r="D298" s="5"/>
    </row>
    <row r="299" spans="1:4" x14ac:dyDescent="0.3">
      <c r="A299" s="5" t="s">
        <v>641</v>
      </c>
      <c r="B299" s="5" t="s">
        <v>644</v>
      </c>
      <c r="C299" s="5"/>
      <c r="D299" s="5"/>
    </row>
    <row r="300" spans="1:4" x14ac:dyDescent="0.3">
      <c r="A300" s="5" t="s">
        <v>645</v>
      </c>
      <c r="B300" s="5" t="s">
        <v>646</v>
      </c>
      <c r="C300" s="5"/>
      <c r="D300" s="5"/>
    </row>
    <row r="301" spans="1:4" x14ac:dyDescent="0.3">
      <c r="A301" s="5" t="s">
        <v>647</v>
      </c>
      <c r="B301" s="5" t="s">
        <v>648</v>
      </c>
      <c r="C301" s="5"/>
      <c r="D301" s="5"/>
    </row>
    <row r="302" spans="1:4" x14ac:dyDescent="0.3">
      <c r="A302" s="5" t="s">
        <v>649</v>
      </c>
      <c r="B302" s="5" t="s">
        <v>650</v>
      </c>
      <c r="C302" s="5"/>
      <c r="D302" s="5"/>
    </row>
    <row r="303" spans="1:4" x14ac:dyDescent="0.3">
      <c r="A303" s="5" t="s">
        <v>651</v>
      </c>
      <c r="B303" s="5" t="s">
        <v>652</v>
      </c>
      <c r="C303" s="5"/>
      <c r="D303" s="5"/>
    </row>
    <row r="304" spans="1:4" x14ac:dyDescent="0.3">
      <c r="A304" s="5" t="s">
        <v>653</v>
      </c>
      <c r="B304" s="5" t="s">
        <v>654</v>
      </c>
      <c r="C304" s="5"/>
      <c r="D304" s="5"/>
    </row>
    <row r="305" spans="1:4" x14ac:dyDescent="0.3">
      <c r="A305" s="5" t="s">
        <v>653</v>
      </c>
      <c r="B305" s="5" t="s">
        <v>655</v>
      </c>
      <c r="C305" s="5"/>
      <c r="D305" s="5"/>
    </row>
    <row r="306" spans="1:4" x14ac:dyDescent="0.3">
      <c r="A306" s="5" t="s">
        <v>656</v>
      </c>
      <c r="B306" s="5" t="s">
        <v>657</v>
      </c>
      <c r="C306" s="5"/>
      <c r="D306" s="5"/>
    </row>
    <row r="307" spans="1:4" x14ac:dyDescent="0.3">
      <c r="A307" s="5" t="s">
        <v>658</v>
      </c>
      <c r="B307" s="5" t="s">
        <v>659</v>
      </c>
      <c r="C307" s="5"/>
      <c r="D307" s="5" t="s">
        <v>660</v>
      </c>
    </row>
    <row r="308" spans="1:4" x14ac:dyDescent="0.3">
      <c r="A308" s="5" t="s">
        <v>658</v>
      </c>
      <c r="B308" s="5" t="s">
        <v>661</v>
      </c>
      <c r="C308" s="5"/>
      <c r="D308" s="5"/>
    </row>
    <row r="309" spans="1:4" x14ac:dyDescent="0.3">
      <c r="A309" s="5" t="s">
        <v>662</v>
      </c>
      <c r="B309" s="5" t="s">
        <v>663</v>
      </c>
      <c r="C309" s="5" t="s">
        <v>664</v>
      </c>
      <c r="D309" s="5"/>
    </row>
    <row r="310" spans="1:4" x14ac:dyDescent="0.3">
      <c r="A310" s="5" t="s">
        <v>665</v>
      </c>
      <c r="B310" s="5" t="s">
        <v>666</v>
      </c>
      <c r="C310" s="5"/>
      <c r="D310" s="5"/>
    </row>
    <row r="311" spans="1:4" x14ac:dyDescent="0.3">
      <c r="A311" s="5" t="s">
        <v>667</v>
      </c>
      <c r="B311" s="5" t="s">
        <v>668</v>
      </c>
      <c r="C311" s="5"/>
      <c r="D311" s="5"/>
    </row>
    <row r="312" spans="1:4" x14ac:dyDescent="0.3">
      <c r="A312" s="5" t="s">
        <v>669</v>
      </c>
      <c r="B312" s="5" t="s">
        <v>670</v>
      </c>
      <c r="C312" s="5"/>
      <c r="D312" s="5"/>
    </row>
    <row r="313" spans="1:4" x14ac:dyDescent="0.3">
      <c r="A313" s="5" t="s">
        <v>671</v>
      </c>
      <c r="B313" s="5" t="s">
        <v>672</v>
      </c>
      <c r="C313" s="5"/>
      <c r="D313" s="5"/>
    </row>
    <row r="314" spans="1:4" x14ac:dyDescent="0.3">
      <c r="A314" s="5" t="s">
        <v>673</v>
      </c>
      <c r="B314" s="5" t="s">
        <v>674</v>
      </c>
      <c r="C314" s="5"/>
      <c r="D314" s="5"/>
    </row>
    <row r="315" spans="1:4" x14ac:dyDescent="0.3">
      <c r="A315" s="5" t="s">
        <v>675</v>
      </c>
      <c r="B315" s="5" t="s">
        <v>676</v>
      </c>
      <c r="C315" s="5"/>
      <c r="D315" s="5"/>
    </row>
    <row r="316" spans="1:4" x14ac:dyDescent="0.3">
      <c r="A316" s="5" t="s">
        <v>677</v>
      </c>
      <c r="B316" s="5" t="s">
        <v>678</v>
      </c>
      <c r="C316" s="5"/>
      <c r="D316" s="5"/>
    </row>
    <row r="317" spans="1:4" x14ac:dyDescent="0.3">
      <c r="A317" s="5" t="s">
        <v>677</v>
      </c>
      <c r="B317" s="5" t="s">
        <v>679</v>
      </c>
      <c r="C317" s="5"/>
      <c r="D317" s="5"/>
    </row>
    <row r="318" spans="1:4" x14ac:dyDescent="0.3">
      <c r="A318" s="5" t="s">
        <v>680</v>
      </c>
      <c r="B318" s="5" t="s">
        <v>681</v>
      </c>
      <c r="C318" s="5"/>
      <c r="D318" s="5"/>
    </row>
    <row r="319" spans="1:4" x14ac:dyDescent="0.3">
      <c r="A319" s="5" t="s">
        <v>682</v>
      </c>
      <c r="B319" s="5" t="s">
        <v>683</v>
      </c>
      <c r="C319" s="5"/>
      <c r="D319" s="5"/>
    </row>
    <row r="320" spans="1:4" x14ac:dyDescent="0.3">
      <c r="A320" s="5" t="s">
        <v>684</v>
      </c>
      <c r="B320" s="5" t="s">
        <v>685</v>
      </c>
      <c r="C320" s="5"/>
      <c r="D320" s="5"/>
    </row>
    <row r="321" spans="1:4" x14ac:dyDescent="0.3">
      <c r="A321" s="5" t="s">
        <v>686</v>
      </c>
      <c r="B321" s="5" t="s">
        <v>687</v>
      </c>
      <c r="C321" s="5"/>
      <c r="D321" s="5"/>
    </row>
    <row r="322" spans="1:4" x14ac:dyDescent="0.3">
      <c r="A322" s="5" t="s">
        <v>688</v>
      </c>
      <c r="B322" s="5" t="s">
        <v>689</v>
      </c>
      <c r="C322" s="5"/>
      <c r="D322" s="5"/>
    </row>
    <row r="323" spans="1:4" x14ac:dyDescent="0.3">
      <c r="A323" s="5" t="s">
        <v>690</v>
      </c>
      <c r="B323" s="5" t="s">
        <v>691</v>
      </c>
      <c r="C323" s="5"/>
      <c r="D323" s="5"/>
    </row>
    <row r="324" spans="1:4" x14ac:dyDescent="0.3">
      <c r="A324" s="5" t="s">
        <v>692</v>
      </c>
      <c r="B324" s="5" t="s">
        <v>693</v>
      </c>
      <c r="C324" s="5"/>
      <c r="D324" s="5"/>
    </row>
  </sheetData>
  <phoneticPr fontId="2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3"/>
  <sheetViews>
    <sheetView workbookViewId="0">
      <selection activeCell="I24" sqref="I24"/>
    </sheetView>
  </sheetViews>
  <sheetFormatPr defaultRowHeight="16.5" x14ac:dyDescent="0.3"/>
  <sheetData>
    <row r="1" spans="1:2" x14ac:dyDescent="0.3">
      <c r="A1" s="6" t="s">
        <v>20</v>
      </c>
      <c r="B1" s="6" t="s">
        <v>21</v>
      </c>
    </row>
    <row r="2" spans="1:2" x14ac:dyDescent="0.3">
      <c r="A2" s="5" t="s">
        <v>22</v>
      </c>
      <c r="B2" s="5" t="s">
        <v>23</v>
      </c>
    </row>
    <row r="3" spans="1:2" x14ac:dyDescent="0.3">
      <c r="A3" s="5" t="s">
        <v>24</v>
      </c>
      <c r="B3" s="5" t="s">
        <v>25</v>
      </c>
    </row>
    <row r="4" spans="1:2" x14ac:dyDescent="0.3">
      <c r="A4" s="5" t="s">
        <v>26</v>
      </c>
      <c r="B4" s="5" t="s">
        <v>27</v>
      </c>
    </row>
    <row r="5" spans="1:2" x14ac:dyDescent="0.3">
      <c r="A5" s="5" t="s">
        <v>28</v>
      </c>
      <c r="B5" s="5" t="s">
        <v>29</v>
      </c>
    </row>
    <row r="6" spans="1:2" x14ac:dyDescent="0.3">
      <c r="A6" s="5" t="s">
        <v>30</v>
      </c>
      <c r="B6" s="5" t="s">
        <v>31</v>
      </c>
    </row>
    <row r="7" spans="1:2" x14ac:dyDescent="0.3">
      <c r="A7" s="5" t="s">
        <v>32</v>
      </c>
      <c r="B7" s="5" t="s">
        <v>33</v>
      </c>
    </row>
    <row r="8" spans="1:2" x14ac:dyDescent="0.3">
      <c r="A8" s="5" t="s">
        <v>34</v>
      </c>
      <c r="B8" s="5" t="s">
        <v>35</v>
      </c>
    </row>
    <row r="9" spans="1:2" x14ac:dyDescent="0.3">
      <c r="A9" s="5" t="s">
        <v>36</v>
      </c>
      <c r="B9" s="5" t="s">
        <v>37</v>
      </c>
    </row>
    <row r="10" spans="1:2" x14ac:dyDescent="0.3">
      <c r="A10" s="5" t="s">
        <v>38</v>
      </c>
      <c r="B10" s="5" t="s">
        <v>39</v>
      </c>
    </row>
    <row r="11" spans="1:2" x14ac:dyDescent="0.3">
      <c r="A11" s="5" t="s">
        <v>40</v>
      </c>
      <c r="B11" s="5" t="s">
        <v>41</v>
      </c>
    </row>
    <row r="12" spans="1:2" x14ac:dyDescent="0.3">
      <c r="A12" s="5" t="s">
        <v>42</v>
      </c>
      <c r="B12" s="5" t="s">
        <v>43</v>
      </c>
    </row>
    <row r="13" spans="1:2" x14ac:dyDescent="0.3">
      <c r="A13" s="5" t="s">
        <v>44</v>
      </c>
      <c r="B13" s="5" t="s">
        <v>45</v>
      </c>
    </row>
    <row r="14" spans="1:2" x14ac:dyDescent="0.3">
      <c r="A14" s="5" t="s">
        <v>46</v>
      </c>
      <c r="B14" s="5" t="s">
        <v>46</v>
      </c>
    </row>
    <row r="15" spans="1:2" x14ac:dyDescent="0.3">
      <c r="A15" s="5" t="s">
        <v>47</v>
      </c>
      <c r="B15" s="5" t="s">
        <v>48</v>
      </c>
    </row>
    <row r="16" spans="1:2" x14ac:dyDescent="0.3">
      <c r="A16" s="5" t="s">
        <v>49</v>
      </c>
      <c r="B16" s="5" t="s">
        <v>18</v>
      </c>
    </row>
    <row r="18" spans="1:2" x14ac:dyDescent="0.3">
      <c r="A18" s="5" t="s">
        <v>50</v>
      </c>
      <c r="B18" s="5" t="s">
        <v>51</v>
      </c>
    </row>
    <row r="19" spans="1:2" x14ac:dyDescent="0.3">
      <c r="A19" s="5" t="s">
        <v>52</v>
      </c>
      <c r="B19" s="5" t="s">
        <v>53</v>
      </c>
    </row>
    <row r="20" spans="1:2" x14ac:dyDescent="0.3">
      <c r="A20" s="5" t="s">
        <v>54</v>
      </c>
      <c r="B20" s="5" t="s">
        <v>55</v>
      </c>
    </row>
    <row r="21" spans="1:2" x14ac:dyDescent="0.3">
      <c r="A21" s="5" t="s">
        <v>56</v>
      </c>
      <c r="B21" s="5" t="s">
        <v>57</v>
      </c>
    </row>
    <row r="22" spans="1:2" x14ac:dyDescent="0.3">
      <c r="A22" s="5" t="s">
        <v>58</v>
      </c>
      <c r="B22" s="5" t="s">
        <v>59</v>
      </c>
    </row>
    <row r="23" spans="1:2" x14ac:dyDescent="0.3">
      <c r="A23" s="5" t="s">
        <v>60</v>
      </c>
      <c r="B23" s="5" t="s">
        <v>61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695</v>
      </c>
    </row>
    <row r="2" spans="1:1" x14ac:dyDescent="0.3">
      <c r="A2" t="s">
        <v>696</v>
      </c>
    </row>
    <row r="3" spans="1:1" x14ac:dyDescent="0.3">
      <c r="A3" t="s">
        <v>697</v>
      </c>
    </row>
    <row r="4" spans="1:1" x14ac:dyDescent="0.3">
      <c r="A4" t="s">
        <v>698</v>
      </c>
    </row>
    <row r="5" spans="1:1" x14ac:dyDescent="0.3">
      <c r="A5" t="s">
        <v>699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상환스케쥴</vt:lpstr>
      <vt:lpstr>표준속성찾기</vt:lpstr>
      <vt:lpstr>단어</vt:lpstr>
      <vt:lpstr>도메인</vt:lpstr>
      <vt:lpstr>상환_sub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한승일</dc:creator>
  <cp:lastModifiedBy>tgsol</cp:lastModifiedBy>
  <dcterms:created xsi:type="dcterms:W3CDTF">2024-03-21T00:13:41Z</dcterms:created>
  <dcterms:modified xsi:type="dcterms:W3CDTF">2024-03-27T06:51:40Z</dcterms:modified>
</cp:coreProperties>
</file>